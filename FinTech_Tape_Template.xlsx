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M&amp;A" sheetId="2" state="visible" r:id="rId2"/>
    <sheet name="Raises" sheetId="3" state="visible" r:id="rId3"/>
    <sheet name="Rotation" sheetId="4" state="visible" r:id="rId4"/>
    <sheet name="Subsector Map" sheetId="5" state="visible" r:id="rId5"/>
    <sheet name="Comps" sheetId="6" state="visible" r:id="rId6"/>
    <sheet name="Multiples" sheetId="7" state="visible" r:id="rId7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9C5500"/>
    </font>
    <font>
      <b val="1"/>
    </font>
    <font>
      <i val="1"/>
      <color rgb="00666666"/>
    </font>
  </fonts>
  <fills count="4">
    <fill>
      <patternFill/>
    </fill>
    <fill>
      <patternFill patternType="gray125"/>
    </fill>
    <fill>
      <patternFill patternType="solid">
        <fgColor rgb="001F6FB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3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FinTech Tape — reads your two precedent sheets AS-IS</t>
        </is>
      </c>
    </row>
    <row r="2">
      <c r="A2" t="inlineStr"/>
    </row>
    <row r="3">
      <c r="A3" t="inlineStr">
        <is>
          <t>Two input sheets match your Precedents tabs EXACTLY. Paste your data into columns A-K; do not touch column L.</t>
        </is>
      </c>
    </row>
    <row r="4">
      <c r="A4" t="inlineStr">
        <is>
          <t xml:space="preserve">  • 'M&amp;A'    = your 'All M&amp;A (PE &amp; Strategic)' tab  (Sector, Target Country, Deal Type, Date, Target, Acquirer, EV ($M), EV/Revenue, EV/EBITDA, Target Description, Link)</t>
        </is>
      </c>
    </row>
    <row r="5">
      <c r="A5" t="inlineStr">
        <is>
          <t xml:space="preserve">  • 'Raises' = your 'Growth Capital Raises' tab     (Sector, Target Country, Date, Target, Lead Investor(s), Amount ($M), Valuation ($M), EV/Revenue, EV/EBITDA, Target Description, Link)</t>
        </is>
      </c>
    </row>
    <row r="6">
      <c r="A6" t="inlineStr"/>
    </row>
    <row r="7">
      <c r="A7" t="inlineStr">
        <is>
          <t>Column L on each = 'Quarter' helper (auto-fills from Date). It's the only thing the Tape adds. Pre-filled to row 1000; copy down if longer.</t>
        </is>
      </c>
    </row>
    <row r="8">
      <c r="A8" t="inlineStr"/>
    </row>
    <row r="9">
      <c r="A9" t="inlineStr">
        <is>
          <t>PHASE 1 — 'Rotation': $ and # of deals by subsector by quarter, summed across BOTH sheets (M&amp;A uses EV, Raises uses Amount). Works the moment you paste.</t>
        </is>
      </c>
    </row>
    <row r="10">
      <c r="A10" t="inlineStr">
        <is>
          <t>PHASE 2 — 'Comps' + 'Multiples': fill the CapIQ backfill -&gt; median forward EV/Rev by subsector over time, plus your deals' private multiples for the spread.</t>
        </is>
      </c>
    </row>
    <row r="11">
      <c r="A11" t="inlineStr"/>
    </row>
    <row r="12">
      <c r="A12" t="inlineStr">
        <is>
          <t>EXPORT 'Rotation' (+ later 'Multiples') to PDF = the 'Tape Summary' you upload to NotebookLM.</t>
        </is>
      </c>
    </row>
    <row r="13">
      <c r="A13" t="inlineStr">
        <is>
          <t>Sample rows are loaded so formulas show live results — delete them and paste your own.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1" customWidth="1" min="4" max="4"/>
    <col width="18" customWidth="1" min="5" max="5"/>
    <col width="16" customWidth="1" min="6" max="6"/>
    <col width="9" customWidth="1" min="7" max="7"/>
    <col width="11" customWidth="1" min="8" max="8"/>
    <col width="11" customWidth="1" min="9" max="9"/>
    <col width="30" customWidth="1" min="10" max="10"/>
    <col width="16" customWidth="1" min="11" max="11"/>
    <col width="9" customWidth="1" min="12" max="12"/>
  </cols>
  <sheetData>
    <row r="1">
      <c r="A1" s="2" t="inlineStr">
        <is>
          <t>Sector</t>
        </is>
      </c>
      <c r="B1" s="2" t="inlineStr">
        <is>
          <t>Target Country</t>
        </is>
      </c>
      <c r="C1" s="2" t="inlineStr">
        <is>
          <t>Deal Type</t>
        </is>
      </c>
      <c r="D1" s="2" t="inlineStr">
        <is>
          <t>Date</t>
        </is>
      </c>
      <c r="E1" s="2" t="inlineStr">
        <is>
          <t>Target</t>
        </is>
      </c>
      <c r="F1" s="2" t="inlineStr">
        <is>
          <t>Acquirer</t>
        </is>
      </c>
      <c r="G1" s="2" t="inlineStr">
        <is>
          <t>EV ($M)</t>
        </is>
      </c>
      <c r="H1" s="2" t="inlineStr">
        <is>
          <t>EV / Revenue</t>
        </is>
      </c>
      <c r="I1" s="2" t="inlineStr">
        <is>
          <t>EV / EBITDA</t>
        </is>
      </c>
      <c r="J1" s="2" t="inlineStr">
        <is>
          <t>Target Description</t>
        </is>
      </c>
      <c r="K1" s="2" t="inlineStr">
        <is>
          <t>Link / Press Release</t>
        </is>
      </c>
      <c r="L1" s="3" t="inlineStr">
        <is>
          <t>Quarter</t>
        </is>
      </c>
    </row>
    <row r="2">
      <c r="A2" t="inlineStr">
        <is>
          <t>Banking &amp; Lending Tech</t>
        </is>
      </c>
      <c r="B2" t="inlineStr">
        <is>
          <t>US</t>
        </is>
      </c>
      <c r="C2" t="inlineStr">
        <is>
          <t>Take-Private</t>
        </is>
      </c>
      <c r="D2" s="4" t="n">
        <v>46189</v>
      </c>
      <c r="E2" t="inlineStr">
        <is>
          <t>Open Lending</t>
        </is>
      </c>
      <c r="F2" t="inlineStr">
        <is>
          <t>ANV Group</t>
        </is>
      </c>
      <c r="G2" t="n">
        <v>372</v>
      </c>
      <c r="H2" t="inlineStr"/>
      <c r="I2" t="inlineStr"/>
      <c r="J2" t="inlineStr">
        <is>
          <t>Insurance-backed auto lending software</t>
        </is>
      </c>
      <c r="K2" t="inlineStr">
        <is>
          <t>link</t>
        </is>
      </c>
      <c r="L2" s="5">
        <f>IF(D2="","",YEAR(D2)&amp;"-Q"&amp;ROUNDUP(MONTH(D2)/3,0))</f>
        <v/>
      </c>
    </row>
    <row r="3">
      <c r="A3" t="inlineStr">
        <is>
          <t>Payments</t>
        </is>
      </c>
      <c r="B3" t="inlineStr">
        <is>
          <t>US</t>
        </is>
      </c>
      <c r="C3" t="inlineStr">
        <is>
          <t>Strategic M&amp;A</t>
        </is>
      </c>
      <c r="D3" s="4" t="n">
        <v>46191</v>
      </c>
      <c r="E3" t="inlineStr">
        <is>
          <t>Celero Commerce</t>
        </is>
      </c>
      <c r="F3" t="inlineStr">
        <is>
          <t>Deluxe</t>
        </is>
      </c>
      <c r="G3" t="n">
        <v>625</v>
      </c>
      <c r="H3" t="inlineStr"/>
      <c r="I3" t="inlineStr"/>
      <c r="J3" t="inlineStr">
        <is>
          <t>SMB payment processing</t>
        </is>
      </c>
      <c r="K3" t="inlineStr">
        <is>
          <t>link</t>
        </is>
      </c>
      <c r="L3" s="5">
        <f>IF(D3="","",YEAR(D3)&amp;"-Q"&amp;ROUNDUP(MONTH(D3)/3,0))</f>
        <v/>
      </c>
    </row>
    <row r="4">
      <c r="A4" t="inlineStr">
        <is>
          <t>Real Estate &amp; Mortgage Tech</t>
        </is>
      </c>
      <c r="B4" t="inlineStr">
        <is>
          <t>US</t>
        </is>
      </c>
      <c r="C4" t="inlineStr">
        <is>
          <t>Strategic M&amp;A</t>
        </is>
      </c>
      <c r="D4" s="4" t="n">
        <v>46190</v>
      </c>
      <c r="E4" t="inlineStr">
        <is>
          <t>Fathom Holdings</t>
        </is>
      </c>
      <c r="F4" t="inlineStr">
        <is>
          <t>Beyond</t>
        </is>
      </c>
      <c r="G4" t="n">
        <v>53</v>
      </c>
      <c r="H4" t="inlineStr"/>
      <c r="I4" t="inlineStr"/>
      <c r="J4" t="inlineStr">
        <is>
          <t>RE brokerage/mortgage/title platform</t>
        </is>
      </c>
      <c r="K4" t="inlineStr">
        <is>
          <t>link</t>
        </is>
      </c>
      <c r="L4" s="5">
        <f>IF(D4="","",YEAR(D4)&amp;"-Q"&amp;ROUNDUP(MONTH(D4)/3,0))</f>
        <v/>
      </c>
    </row>
    <row r="5">
      <c r="A5" t="inlineStr">
        <is>
          <t>Banking &amp; Lending Tech</t>
        </is>
      </c>
      <c r="B5" t="inlineStr">
        <is>
          <t>UK</t>
        </is>
      </c>
      <c r="C5" t="inlineStr">
        <is>
          <t>PE Buyout</t>
        </is>
      </c>
      <c r="D5" s="4" t="n">
        <v>46192</v>
      </c>
      <c r="E5" t="inlineStr">
        <is>
          <t>Finastra (Universal Banking)</t>
        </is>
      </c>
      <c r="F5" t="inlineStr">
        <is>
          <t>Pollen Street</t>
        </is>
      </c>
      <c r="G5" t="inlineStr"/>
      <c r="H5" t="inlineStr"/>
      <c r="I5" t="inlineStr"/>
      <c r="J5" t="inlineStr">
        <is>
          <t>Core banking software</t>
        </is>
      </c>
      <c r="K5" t="inlineStr">
        <is>
          <t>link</t>
        </is>
      </c>
      <c r="L5" s="5">
        <f>IF(D5="","",YEAR(D5)&amp;"-Q"&amp;ROUNDUP(MONTH(D5)/3,0))</f>
        <v/>
      </c>
    </row>
    <row r="6">
      <c r="L6" s="5">
        <f>IF(D6="","",YEAR(D6)&amp;"-Q"&amp;ROUNDUP(MONTH(D6)/3,0))</f>
        <v/>
      </c>
    </row>
    <row r="7">
      <c r="L7" s="5">
        <f>IF(D7="","",YEAR(D7)&amp;"-Q"&amp;ROUNDUP(MONTH(D7)/3,0))</f>
        <v/>
      </c>
    </row>
    <row r="8">
      <c r="L8" s="5">
        <f>IF(D8="","",YEAR(D8)&amp;"-Q"&amp;ROUNDUP(MONTH(D8)/3,0))</f>
        <v/>
      </c>
    </row>
    <row r="9">
      <c r="L9" s="5">
        <f>IF(D9="","",YEAR(D9)&amp;"-Q"&amp;ROUNDUP(MONTH(D9)/3,0))</f>
        <v/>
      </c>
    </row>
    <row r="10">
      <c r="L10" s="5">
        <f>IF(D10="","",YEAR(D10)&amp;"-Q"&amp;ROUNDUP(MONTH(D10)/3,0))</f>
        <v/>
      </c>
    </row>
    <row r="11">
      <c r="L11" s="5">
        <f>IF(D11="","",YEAR(D11)&amp;"-Q"&amp;ROUNDUP(MONTH(D11)/3,0))</f>
        <v/>
      </c>
    </row>
    <row r="12">
      <c r="L12" s="5">
        <f>IF(D12="","",YEAR(D12)&amp;"-Q"&amp;ROUNDUP(MONTH(D12)/3,0))</f>
        <v/>
      </c>
    </row>
    <row r="13">
      <c r="L13" s="5">
        <f>IF(D13="","",YEAR(D13)&amp;"-Q"&amp;ROUNDUP(MONTH(D13)/3,0))</f>
        <v/>
      </c>
    </row>
    <row r="14">
      <c r="L14" s="5">
        <f>IF(D14="","",YEAR(D14)&amp;"-Q"&amp;ROUNDUP(MONTH(D14)/3,0))</f>
        <v/>
      </c>
    </row>
    <row r="15">
      <c r="L15" s="5">
        <f>IF(D15="","",YEAR(D15)&amp;"-Q"&amp;ROUNDUP(MONTH(D15)/3,0))</f>
        <v/>
      </c>
    </row>
    <row r="16">
      <c r="L16" s="5">
        <f>IF(D16="","",YEAR(D16)&amp;"-Q"&amp;ROUNDUP(MONTH(D16)/3,0))</f>
        <v/>
      </c>
    </row>
    <row r="17">
      <c r="L17" s="5">
        <f>IF(D17="","",YEAR(D17)&amp;"-Q"&amp;ROUNDUP(MONTH(D17)/3,0))</f>
        <v/>
      </c>
    </row>
    <row r="18">
      <c r="L18" s="5">
        <f>IF(D18="","",YEAR(D18)&amp;"-Q"&amp;ROUNDUP(MONTH(D18)/3,0))</f>
        <v/>
      </c>
    </row>
    <row r="19">
      <c r="L19" s="5">
        <f>IF(D19="","",YEAR(D19)&amp;"-Q"&amp;ROUNDUP(MONTH(D19)/3,0))</f>
        <v/>
      </c>
    </row>
    <row r="20">
      <c r="L20" s="5">
        <f>IF(D20="","",YEAR(D20)&amp;"-Q"&amp;ROUNDUP(MONTH(D20)/3,0))</f>
        <v/>
      </c>
    </row>
    <row r="21">
      <c r="L21" s="5">
        <f>IF(D21="","",YEAR(D21)&amp;"-Q"&amp;ROUNDUP(MONTH(D21)/3,0))</f>
        <v/>
      </c>
    </row>
    <row r="22">
      <c r="L22" s="5">
        <f>IF(D22="","",YEAR(D22)&amp;"-Q"&amp;ROUNDUP(MONTH(D22)/3,0))</f>
        <v/>
      </c>
    </row>
    <row r="23">
      <c r="L23" s="5">
        <f>IF(D23="","",YEAR(D23)&amp;"-Q"&amp;ROUNDUP(MONTH(D23)/3,0))</f>
        <v/>
      </c>
    </row>
    <row r="24">
      <c r="L24" s="5">
        <f>IF(D24="","",YEAR(D24)&amp;"-Q"&amp;ROUNDUP(MONTH(D24)/3,0))</f>
        <v/>
      </c>
    </row>
    <row r="25">
      <c r="L25" s="5">
        <f>IF(D25="","",YEAR(D25)&amp;"-Q"&amp;ROUNDUP(MONTH(D25)/3,0))</f>
        <v/>
      </c>
    </row>
    <row r="26">
      <c r="L26" s="5">
        <f>IF(D26="","",YEAR(D26)&amp;"-Q"&amp;ROUNDUP(MONTH(D26)/3,0))</f>
        <v/>
      </c>
    </row>
    <row r="27">
      <c r="L27" s="5">
        <f>IF(D27="","",YEAR(D27)&amp;"-Q"&amp;ROUNDUP(MONTH(D27)/3,0))</f>
        <v/>
      </c>
    </row>
    <row r="28">
      <c r="L28" s="5">
        <f>IF(D28="","",YEAR(D28)&amp;"-Q"&amp;ROUNDUP(MONTH(D28)/3,0))</f>
        <v/>
      </c>
    </row>
    <row r="29">
      <c r="L29" s="5">
        <f>IF(D29="","",YEAR(D29)&amp;"-Q"&amp;ROUNDUP(MONTH(D29)/3,0))</f>
        <v/>
      </c>
    </row>
    <row r="30">
      <c r="L30" s="5">
        <f>IF(D30="","",YEAR(D30)&amp;"-Q"&amp;ROUNDUP(MONTH(D30)/3,0))</f>
        <v/>
      </c>
    </row>
    <row r="31">
      <c r="L31" s="5">
        <f>IF(D31="","",YEAR(D31)&amp;"-Q"&amp;ROUNDUP(MONTH(D31)/3,0))</f>
        <v/>
      </c>
    </row>
    <row r="32">
      <c r="L32" s="5">
        <f>IF(D32="","",YEAR(D32)&amp;"-Q"&amp;ROUNDUP(MONTH(D32)/3,0))</f>
        <v/>
      </c>
    </row>
    <row r="33">
      <c r="L33" s="5">
        <f>IF(D33="","",YEAR(D33)&amp;"-Q"&amp;ROUNDUP(MONTH(D33)/3,0))</f>
        <v/>
      </c>
    </row>
    <row r="34">
      <c r="L34" s="5">
        <f>IF(D34="","",YEAR(D34)&amp;"-Q"&amp;ROUNDUP(MONTH(D34)/3,0))</f>
        <v/>
      </c>
    </row>
    <row r="35">
      <c r="L35" s="5">
        <f>IF(D35="","",YEAR(D35)&amp;"-Q"&amp;ROUNDUP(MONTH(D35)/3,0))</f>
        <v/>
      </c>
    </row>
    <row r="36">
      <c r="L36" s="5">
        <f>IF(D36="","",YEAR(D36)&amp;"-Q"&amp;ROUNDUP(MONTH(D36)/3,0))</f>
        <v/>
      </c>
    </row>
    <row r="37">
      <c r="L37" s="5">
        <f>IF(D37="","",YEAR(D37)&amp;"-Q"&amp;ROUNDUP(MONTH(D37)/3,0))</f>
        <v/>
      </c>
    </row>
    <row r="38">
      <c r="L38" s="5">
        <f>IF(D38="","",YEAR(D38)&amp;"-Q"&amp;ROUNDUP(MONTH(D38)/3,0))</f>
        <v/>
      </c>
    </row>
    <row r="39">
      <c r="L39" s="5">
        <f>IF(D39="","",YEAR(D39)&amp;"-Q"&amp;ROUNDUP(MONTH(D39)/3,0))</f>
        <v/>
      </c>
    </row>
    <row r="40">
      <c r="L40" s="5">
        <f>IF(D40="","",YEAR(D40)&amp;"-Q"&amp;ROUNDUP(MONTH(D40)/3,0))</f>
        <v/>
      </c>
    </row>
    <row r="41">
      <c r="L41" s="5">
        <f>IF(D41="","",YEAR(D41)&amp;"-Q"&amp;ROUNDUP(MONTH(D41)/3,0))</f>
        <v/>
      </c>
    </row>
    <row r="42">
      <c r="L42" s="5">
        <f>IF(D42="","",YEAR(D42)&amp;"-Q"&amp;ROUNDUP(MONTH(D42)/3,0))</f>
        <v/>
      </c>
    </row>
    <row r="43">
      <c r="L43" s="5">
        <f>IF(D43="","",YEAR(D43)&amp;"-Q"&amp;ROUNDUP(MONTH(D43)/3,0))</f>
        <v/>
      </c>
    </row>
    <row r="44">
      <c r="L44" s="5">
        <f>IF(D44="","",YEAR(D44)&amp;"-Q"&amp;ROUNDUP(MONTH(D44)/3,0))</f>
        <v/>
      </c>
    </row>
    <row r="45">
      <c r="L45" s="5">
        <f>IF(D45="","",YEAR(D45)&amp;"-Q"&amp;ROUNDUP(MONTH(D45)/3,0))</f>
        <v/>
      </c>
    </row>
    <row r="46">
      <c r="L46" s="5">
        <f>IF(D46="","",YEAR(D46)&amp;"-Q"&amp;ROUNDUP(MONTH(D46)/3,0))</f>
        <v/>
      </c>
    </row>
    <row r="47">
      <c r="L47" s="5">
        <f>IF(D47="","",YEAR(D47)&amp;"-Q"&amp;ROUNDUP(MONTH(D47)/3,0))</f>
        <v/>
      </c>
    </row>
    <row r="48">
      <c r="L48" s="5">
        <f>IF(D48="","",YEAR(D48)&amp;"-Q"&amp;ROUNDUP(MONTH(D48)/3,0))</f>
        <v/>
      </c>
    </row>
    <row r="49">
      <c r="L49" s="5">
        <f>IF(D49="","",YEAR(D49)&amp;"-Q"&amp;ROUNDUP(MONTH(D49)/3,0))</f>
        <v/>
      </c>
    </row>
    <row r="50">
      <c r="L50" s="5">
        <f>IF(D50="","",YEAR(D50)&amp;"-Q"&amp;ROUNDUP(MONTH(D50)/3,0))</f>
        <v/>
      </c>
    </row>
    <row r="51">
      <c r="L51" s="5">
        <f>IF(D51="","",YEAR(D51)&amp;"-Q"&amp;ROUNDUP(MONTH(D51)/3,0))</f>
        <v/>
      </c>
    </row>
    <row r="52">
      <c r="L52" s="5">
        <f>IF(D52="","",YEAR(D52)&amp;"-Q"&amp;ROUNDUP(MONTH(D52)/3,0))</f>
        <v/>
      </c>
    </row>
    <row r="53">
      <c r="L53" s="5">
        <f>IF(D53="","",YEAR(D53)&amp;"-Q"&amp;ROUNDUP(MONTH(D53)/3,0))</f>
        <v/>
      </c>
    </row>
    <row r="54">
      <c r="L54" s="5">
        <f>IF(D54="","",YEAR(D54)&amp;"-Q"&amp;ROUNDUP(MONTH(D54)/3,0))</f>
        <v/>
      </c>
    </row>
    <row r="55">
      <c r="L55" s="5">
        <f>IF(D55="","",YEAR(D55)&amp;"-Q"&amp;ROUNDUP(MONTH(D55)/3,0))</f>
        <v/>
      </c>
    </row>
    <row r="56">
      <c r="L56" s="5">
        <f>IF(D56="","",YEAR(D56)&amp;"-Q"&amp;ROUNDUP(MONTH(D56)/3,0))</f>
        <v/>
      </c>
    </row>
    <row r="57">
      <c r="L57" s="5">
        <f>IF(D57="","",YEAR(D57)&amp;"-Q"&amp;ROUNDUP(MONTH(D57)/3,0))</f>
        <v/>
      </c>
    </row>
    <row r="58">
      <c r="L58" s="5">
        <f>IF(D58="","",YEAR(D58)&amp;"-Q"&amp;ROUNDUP(MONTH(D58)/3,0))</f>
        <v/>
      </c>
    </row>
    <row r="59">
      <c r="L59" s="5">
        <f>IF(D59="","",YEAR(D59)&amp;"-Q"&amp;ROUNDUP(MONTH(D59)/3,0))</f>
        <v/>
      </c>
    </row>
    <row r="60">
      <c r="L60" s="5">
        <f>IF(D60="","",YEAR(D60)&amp;"-Q"&amp;ROUNDUP(MONTH(D60)/3,0))</f>
        <v/>
      </c>
    </row>
    <row r="61">
      <c r="L61" s="5">
        <f>IF(D61="","",YEAR(D61)&amp;"-Q"&amp;ROUNDUP(MONTH(D61)/3,0))</f>
        <v/>
      </c>
    </row>
    <row r="62">
      <c r="L62" s="5">
        <f>IF(D62="","",YEAR(D62)&amp;"-Q"&amp;ROUNDUP(MONTH(D62)/3,0))</f>
        <v/>
      </c>
    </row>
    <row r="63">
      <c r="L63" s="5">
        <f>IF(D63="","",YEAR(D63)&amp;"-Q"&amp;ROUNDUP(MONTH(D63)/3,0))</f>
        <v/>
      </c>
    </row>
    <row r="64">
      <c r="L64" s="5">
        <f>IF(D64="","",YEAR(D64)&amp;"-Q"&amp;ROUNDUP(MONTH(D64)/3,0))</f>
        <v/>
      </c>
    </row>
    <row r="65">
      <c r="L65" s="5">
        <f>IF(D65="","",YEAR(D65)&amp;"-Q"&amp;ROUNDUP(MONTH(D65)/3,0))</f>
        <v/>
      </c>
    </row>
    <row r="66">
      <c r="L66" s="5">
        <f>IF(D66="","",YEAR(D66)&amp;"-Q"&amp;ROUNDUP(MONTH(D66)/3,0))</f>
        <v/>
      </c>
    </row>
    <row r="67">
      <c r="L67" s="5">
        <f>IF(D67="","",YEAR(D67)&amp;"-Q"&amp;ROUNDUP(MONTH(D67)/3,0))</f>
        <v/>
      </c>
    </row>
    <row r="68">
      <c r="L68" s="5">
        <f>IF(D68="","",YEAR(D68)&amp;"-Q"&amp;ROUNDUP(MONTH(D68)/3,0))</f>
        <v/>
      </c>
    </row>
    <row r="69">
      <c r="L69" s="5">
        <f>IF(D69="","",YEAR(D69)&amp;"-Q"&amp;ROUNDUP(MONTH(D69)/3,0))</f>
        <v/>
      </c>
    </row>
    <row r="70">
      <c r="L70" s="5">
        <f>IF(D70="","",YEAR(D70)&amp;"-Q"&amp;ROUNDUP(MONTH(D70)/3,0))</f>
        <v/>
      </c>
    </row>
    <row r="71">
      <c r="L71" s="5">
        <f>IF(D71="","",YEAR(D71)&amp;"-Q"&amp;ROUNDUP(MONTH(D71)/3,0))</f>
        <v/>
      </c>
    </row>
    <row r="72">
      <c r="L72" s="5">
        <f>IF(D72="","",YEAR(D72)&amp;"-Q"&amp;ROUNDUP(MONTH(D72)/3,0))</f>
        <v/>
      </c>
    </row>
    <row r="73">
      <c r="L73" s="5">
        <f>IF(D73="","",YEAR(D73)&amp;"-Q"&amp;ROUNDUP(MONTH(D73)/3,0))</f>
        <v/>
      </c>
    </row>
    <row r="74">
      <c r="L74" s="5">
        <f>IF(D74="","",YEAR(D74)&amp;"-Q"&amp;ROUNDUP(MONTH(D74)/3,0))</f>
        <v/>
      </c>
    </row>
    <row r="75">
      <c r="L75" s="5">
        <f>IF(D75="","",YEAR(D75)&amp;"-Q"&amp;ROUNDUP(MONTH(D75)/3,0))</f>
        <v/>
      </c>
    </row>
    <row r="76">
      <c r="L76" s="5">
        <f>IF(D76="","",YEAR(D76)&amp;"-Q"&amp;ROUNDUP(MONTH(D76)/3,0))</f>
        <v/>
      </c>
    </row>
    <row r="77">
      <c r="L77" s="5">
        <f>IF(D77="","",YEAR(D77)&amp;"-Q"&amp;ROUNDUP(MONTH(D77)/3,0))</f>
        <v/>
      </c>
    </row>
    <row r="78">
      <c r="L78" s="5">
        <f>IF(D78="","",YEAR(D78)&amp;"-Q"&amp;ROUNDUP(MONTH(D78)/3,0))</f>
        <v/>
      </c>
    </row>
    <row r="79">
      <c r="L79" s="5">
        <f>IF(D79="","",YEAR(D79)&amp;"-Q"&amp;ROUNDUP(MONTH(D79)/3,0))</f>
        <v/>
      </c>
    </row>
    <row r="80">
      <c r="L80" s="5">
        <f>IF(D80="","",YEAR(D80)&amp;"-Q"&amp;ROUNDUP(MONTH(D80)/3,0))</f>
        <v/>
      </c>
    </row>
    <row r="81">
      <c r="L81" s="5">
        <f>IF(D81="","",YEAR(D81)&amp;"-Q"&amp;ROUNDUP(MONTH(D81)/3,0))</f>
        <v/>
      </c>
    </row>
    <row r="82">
      <c r="L82" s="5">
        <f>IF(D82="","",YEAR(D82)&amp;"-Q"&amp;ROUNDUP(MONTH(D82)/3,0))</f>
        <v/>
      </c>
    </row>
    <row r="83">
      <c r="L83" s="5">
        <f>IF(D83="","",YEAR(D83)&amp;"-Q"&amp;ROUNDUP(MONTH(D83)/3,0))</f>
        <v/>
      </c>
    </row>
    <row r="84">
      <c r="L84" s="5">
        <f>IF(D84="","",YEAR(D84)&amp;"-Q"&amp;ROUNDUP(MONTH(D84)/3,0))</f>
        <v/>
      </c>
    </row>
    <row r="85">
      <c r="L85" s="5">
        <f>IF(D85="","",YEAR(D85)&amp;"-Q"&amp;ROUNDUP(MONTH(D85)/3,0))</f>
        <v/>
      </c>
    </row>
    <row r="86">
      <c r="L86" s="5">
        <f>IF(D86="","",YEAR(D86)&amp;"-Q"&amp;ROUNDUP(MONTH(D86)/3,0))</f>
        <v/>
      </c>
    </row>
    <row r="87">
      <c r="L87" s="5">
        <f>IF(D87="","",YEAR(D87)&amp;"-Q"&amp;ROUNDUP(MONTH(D87)/3,0))</f>
        <v/>
      </c>
    </row>
    <row r="88">
      <c r="L88" s="5">
        <f>IF(D88="","",YEAR(D88)&amp;"-Q"&amp;ROUNDUP(MONTH(D88)/3,0))</f>
        <v/>
      </c>
    </row>
    <row r="89">
      <c r="L89" s="5">
        <f>IF(D89="","",YEAR(D89)&amp;"-Q"&amp;ROUNDUP(MONTH(D89)/3,0))</f>
        <v/>
      </c>
    </row>
    <row r="90">
      <c r="L90" s="5">
        <f>IF(D90="","",YEAR(D90)&amp;"-Q"&amp;ROUNDUP(MONTH(D90)/3,0))</f>
        <v/>
      </c>
    </row>
    <row r="91">
      <c r="L91" s="5">
        <f>IF(D91="","",YEAR(D91)&amp;"-Q"&amp;ROUNDUP(MONTH(D91)/3,0))</f>
        <v/>
      </c>
    </row>
    <row r="92">
      <c r="L92" s="5">
        <f>IF(D92="","",YEAR(D92)&amp;"-Q"&amp;ROUNDUP(MONTH(D92)/3,0))</f>
        <v/>
      </c>
    </row>
    <row r="93">
      <c r="L93" s="5">
        <f>IF(D93="","",YEAR(D93)&amp;"-Q"&amp;ROUNDUP(MONTH(D93)/3,0))</f>
        <v/>
      </c>
    </row>
    <row r="94">
      <c r="L94" s="5">
        <f>IF(D94="","",YEAR(D94)&amp;"-Q"&amp;ROUNDUP(MONTH(D94)/3,0))</f>
        <v/>
      </c>
    </row>
    <row r="95">
      <c r="L95" s="5">
        <f>IF(D95="","",YEAR(D95)&amp;"-Q"&amp;ROUNDUP(MONTH(D95)/3,0))</f>
        <v/>
      </c>
    </row>
    <row r="96">
      <c r="L96" s="5">
        <f>IF(D96="","",YEAR(D96)&amp;"-Q"&amp;ROUNDUP(MONTH(D96)/3,0))</f>
        <v/>
      </c>
    </row>
    <row r="97">
      <c r="L97" s="5">
        <f>IF(D97="","",YEAR(D97)&amp;"-Q"&amp;ROUNDUP(MONTH(D97)/3,0))</f>
        <v/>
      </c>
    </row>
    <row r="98">
      <c r="L98" s="5">
        <f>IF(D98="","",YEAR(D98)&amp;"-Q"&amp;ROUNDUP(MONTH(D98)/3,0))</f>
        <v/>
      </c>
    </row>
    <row r="99">
      <c r="L99" s="5">
        <f>IF(D99="","",YEAR(D99)&amp;"-Q"&amp;ROUNDUP(MONTH(D99)/3,0))</f>
        <v/>
      </c>
    </row>
    <row r="100">
      <c r="L100" s="5">
        <f>IF(D100="","",YEAR(D100)&amp;"-Q"&amp;ROUNDUP(MONTH(D100)/3,0))</f>
        <v/>
      </c>
    </row>
    <row r="101">
      <c r="L101" s="5">
        <f>IF(D101="","",YEAR(D101)&amp;"-Q"&amp;ROUNDUP(MONTH(D101)/3,0))</f>
        <v/>
      </c>
    </row>
    <row r="102">
      <c r="L102" s="5">
        <f>IF(D102="","",YEAR(D102)&amp;"-Q"&amp;ROUNDUP(MONTH(D102)/3,0))</f>
        <v/>
      </c>
    </row>
    <row r="103">
      <c r="L103" s="5">
        <f>IF(D103="","",YEAR(D103)&amp;"-Q"&amp;ROUNDUP(MONTH(D103)/3,0))</f>
        <v/>
      </c>
    </row>
    <row r="104">
      <c r="L104" s="5">
        <f>IF(D104="","",YEAR(D104)&amp;"-Q"&amp;ROUNDUP(MONTH(D104)/3,0))</f>
        <v/>
      </c>
    </row>
    <row r="105">
      <c r="L105" s="5">
        <f>IF(D105="","",YEAR(D105)&amp;"-Q"&amp;ROUNDUP(MONTH(D105)/3,0))</f>
        <v/>
      </c>
    </row>
    <row r="106">
      <c r="L106" s="5">
        <f>IF(D106="","",YEAR(D106)&amp;"-Q"&amp;ROUNDUP(MONTH(D106)/3,0))</f>
        <v/>
      </c>
    </row>
    <row r="107">
      <c r="L107" s="5">
        <f>IF(D107="","",YEAR(D107)&amp;"-Q"&amp;ROUNDUP(MONTH(D107)/3,0))</f>
        <v/>
      </c>
    </row>
    <row r="108">
      <c r="L108" s="5">
        <f>IF(D108="","",YEAR(D108)&amp;"-Q"&amp;ROUNDUP(MONTH(D108)/3,0))</f>
        <v/>
      </c>
    </row>
    <row r="109">
      <c r="L109" s="5">
        <f>IF(D109="","",YEAR(D109)&amp;"-Q"&amp;ROUNDUP(MONTH(D109)/3,0))</f>
        <v/>
      </c>
    </row>
    <row r="110">
      <c r="L110" s="5">
        <f>IF(D110="","",YEAR(D110)&amp;"-Q"&amp;ROUNDUP(MONTH(D110)/3,0))</f>
        <v/>
      </c>
    </row>
    <row r="111">
      <c r="L111" s="5">
        <f>IF(D111="","",YEAR(D111)&amp;"-Q"&amp;ROUNDUP(MONTH(D111)/3,0))</f>
        <v/>
      </c>
    </row>
    <row r="112">
      <c r="L112" s="5">
        <f>IF(D112="","",YEAR(D112)&amp;"-Q"&amp;ROUNDUP(MONTH(D112)/3,0))</f>
        <v/>
      </c>
    </row>
    <row r="113">
      <c r="L113" s="5">
        <f>IF(D113="","",YEAR(D113)&amp;"-Q"&amp;ROUNDUP(MONTH(D113)/3,0))</f>
        <v/>
      </c>
    </row>
    <row r="114">
      <c r="L114" s="5">
        <f>IF(D114="","",YEAR(D114)&amp;"-Q"&amp;ROUNDUP(MONTH(D114)/3,0))</f>
        <v/>
      </c>
    </row>
    <row r="115">
      <c r="L115" s="5">
        <f>IF(D115="","",YEAR(D115)&amp;"-Q"&amp;ROUNDUP(MONTH(D115)/3,0))</f>
        <v/>
      </c>
    </row>
    <row r="116">
      <c r="L116" s="5">
        <f>IF(D116="","",YEAR(D116)&amp;"-Q"&amp;ROUNDUP(MONTH(D116)/3,0))</f>
        <v/>
      </c>
    </row>
    <row r="117">
      <c r="L117" s="5">
        <f>IF(D117="","",YEAR(D117)&amp;"-Q"&amp;ROUNDUP(MONTH(D117)/3,0))</f>
        <v/>
      </c>
    </row>
    <row r="118">
      <c r="L118" s="5">
        <f>IF(D118="","",YEAR(D118)&amp;"-Q"&amp;ROUNDUP(MONTH(D118)/3,0))</f>
        <v/>
      </c>
    </row>
    <row r="119">
      <c r="L119" s="5">
        <f>IF(D119="","",YEAR(D119)&amp;"-Q"&amp;ROUNDUP(MONTH(D119)/3,0))</f>
        <v/>
      </c>
    </row>
    <row r="120">
      <c r="L120" s="5">
        <f>IF(D120="","",YEAR(D120)&amp;"-Q"&amp;ROUNDUP(MONTH(D120)/3,0))</f>
        <v/>
      </c>
    </row>
    <row r="121">
      <c r="L121" s="5">
        <f>IF(D121="","",YEAR(D121)&amp;"-Q"&amp;ROUNDUP(MONTH(D121)/3,0))</f>
        <v/>
      </c>
    </row>
    <row r="122">
      <c r="L122" s="5">
        <f>IF(D122="","",YEAR(D122)&amp;"-Q"&amp;ROUNDUP(MONTH(D122)/3,0))</f>
        <v/>
      </c>
    </row>
    <row r="123">
      <c r="L123" s="5">
        <f>IF(D123="","",YEAR(D123)&amp;"-Q"&amp;ROUNDUP(MONTH(D123)/3,0))</f>
        <v/>
      </c>
    </row>
    <row r="124">
      <c r="L124" s="5">
        <f>IF(D124="","",YEAR(D124)&amp;"-Q"&amp;ROUNDUP(MONTH(D124)/3,0))</f>
        <v/>
      </c>
    </row>
    <row r="125">
      <c r="L125" s="5">
        <f>IF(D125="","",YEAR(D125)&amp;"-Q"&amp;ROUNDUP(MONTH(D125)/3,0))</f>
        <v/>
      </c>
    </row>
    <row r="126">
      <c r="L126" s="5">
        <f>IF(D126="","",YEAR(D126)&amp;"-Q"&amp;ROUNDUP(MONTH(D126)/3,0))</f>
        <v/>
      </c>
    </row>
    <row r="127">
      <c r="L127" s="5">
        <f>IF(D127="","",YEAR(D127)&amp;"-Q"&amp;ROUNDUP(MONTH(D127)/3,0))</f>
        <v/>
      </c>
    </row>
    <row r="128">
      <c r="L128" s="5">
        <f>IF(D128="","",YEAR(D128)&amp;"-Q"&amp;ROUNDUP(MONTH(D128)/3,0))</f>
        <v/>
      </c>
    </row>
    <row r="129">
      <c r="L129" s="5">
        <f>IF(D129="","",YEAR(D129)&amp;"-Q"&amp;ROUNDUP(MONTH(D129)/3,0))</f>
        <v/>
      </c>
    </row>
    <row r="130">
      <c r="L130" s="5">
        <f>IF(D130="","",YEAR(D130)&amp;"-Q"&amp;ROUNDUP(MONTH(D130)/3,0))</f>
        <v/>
      </c>
    </row>
    <row r="131">
      <c r="L131" s="5">
        <f>IF(D131="","",YEAR(D131)&amp;"-Q"&amp;ROUNDUP(MONTH(D131)/3,0))</f>
        <v/>
      </c>
    </row>
    <row r="132">
      <c r="L132" s="5">
        <f>IF(D132="","",YEAR(D132)&amp;"-Q"&amp;ROUNDUP(MONTH(D132)/3,0))</f>
        <v/>
      </c>
    </row>
    <row r="133">
      <c r="L133" s="5">
        <f>IF(D133="","",YEAR(D133)&amp;"-Q"&amp;ROUNDUP(MONTH(D133)/3,0))</f>
        <v/>
      </c>
    </row>
    <row r="134">
      <c r="L134" s="5">
        <f>IF(D134="","",YEAR(D134)&amp;"-Q"&amp;ROUNDUP(MONTH(D134)/3,0))</f>
        <v/>
      </c>
    </row>
    <row r="135">
      <c r="L135" s="5">
        <f>IF(D135="","",YEAR(D135)&amp;"-Q"&amp;ROUNDUP(MONTH(D135)/3,0))</f>
        <v/>
      </c>
    </row>
    <row r="136">
      <c r="L136" s="5">
        <f>IF(D136="","",YEAR(D136)&amp;"-Q"&amp;ROUNDUP(MONTH(D136)/3,0))</f>
        <v/>
      </c>
    </row>
    <row r="137">
      <c r="L137" s="5">
        <f>IF(D137="","",YEAR(D137)&amp;"-Q"&amp;ROUNDUP(MONTH(D137)/3,0))</f>
        <v/>
      </c>
    </row>
    <row r="138">
      <c r="L138" s="5">
        <f>IF(D138="","",YEAR(D138)&amp;"-Q"&amp;ROUNDUP(MONTH(D138)/3,0))</f>
        <v/>
      </c>
    </row>
    <row r="139">
      <c r="L139" s="5">
        <f>IF(D139="","",YEAR(D139)&amp;"-Q"&amp;ROUNDUP(MONTH(D139)/3,0))</f>
        <v/>
      </c>
    </row>
    <row r="140">
      <c r="L140" s="5">
        <f>IF(D140="","",YEAR(D140)&amp;"-Q"&amp;ROUNDUP(MONTH(D140)/3,0))</f>
        <v/>
      </c>
    </row>
    <row r="141">
      <c r="L141" s="5">
        <f>IF(D141="","",YEAR(D141)&amp;"-Q"&amp;ROUNDUP(MONTH(D141)/3,0))</f>
        <v/>
      </c>
    </row>
    <row r="142">
      <c r="L142" s="5">
        <f>IF(D142="","",YEAR(D142)&amp;"-Q"&amp;ROUNDUP(MONTH(D142)/3,0))</f>
        <v/>
      </c>
    </row>
    <row r="143">
      <c r="L143" s="5">
        <f>IF(D143="","",YEAR(D143)&amp;"-Q"&amp;ROUNDUP(MONTH(D143)/3,0))</f>
        <v/>
      </c>
    </row>
    <row r="144">
      <c r="L144" s="5">
        <f>IF(D144="","",YEAR(D144)&amp;"-Q"&amp;ROUNDUP(MONTH(D144)/3,0))</f>
        <v/>
      </c>
    </row>
    <row r="145">
      <c r="L145" s="5">
        <f>IF(D145="","",YEAR(D145)&amp;"-Q"&amp;ROUNDUP(MONTH(D145)/3,0))</f>
        <v/>
      </c>
    </row>
    <row r="146">
      <c r="L146" s="5">
        <f>IF(D146="","",YEAR(D146)&amp;"-Q"&amp;ROUNDUP(MONTH(D146)/3,0))</f>
        <v/>
      </c>
    </row>
    <row r="147">
      <c r="L147" s="5">
        <f>IF(D147="","",YEAR(D147)&amp;"-Q"&amp;ROUNDUP(MONTH(D147)/3,0))</f>
        <v/>
      </c>
    </row>
    <row r="148">
      <c r="L148" s="5">
        <f>IF(D148="","",YEAR(D148)&amp;"-Q"&amp;ROUNDUP(MONTH(D148)/3,0))</f>
        <v/>
      </c>
    </row>
    <row r="149">
      <c r="L149" s="5">
        <f>IF(D149="","",YEAR(D149)&amp;"-Q"&amp;ROUNDUP(MONTH(D149)/3,0))</f>
        <v/>
      </c>
    </row>
    <row r="150">
      <c r="L150" s="5">
        <f>IF(D150="","",YEAR(D150)&amp;"-Q"&amp;ROUNDUP(MONTH(D150)/3,0))</f>
        <v/>
      </c>
    </row>
    <row r="151">
      <c r="L151" s="5">
        <f>IF(D151="","",YEAR(D151)&amp;"-Q"&amp;ROUNDUP(MONTH(D151)/3,0))</f>
        <v/>
      </c>
    </row>
    <row r="152">
      <c r="L152" s="5">
        <f>IF(D152="","",YEAR(D152)&amp;"-Q"&amp;ROUNDUP(MONTH(D152)/3,0))</f>
        <v/>
      </c>
    </row>
    <row r="153">
      <c r="L153" s="5">
        <f>IF(D153="","",YEAR(D153)&amp;"-Q"&amp;ROUNDUP(MONTH(D153)/3,0))</f>
        <v/>
      </c>
    </row>
    <row r="154">
      <c r="L154" s="5">
        <f>IF(D154="","",YEAR(D154)&amp;"-Q"&amp;ROUNDUP(MONTH(D154)/3,0))</f>
        <v/>
      </c>
    </row>
    <row r="155">
      <c r="L155" s="5">
        <f>IF(D155="","",YEAR(D155)&amp;"-Q"&amp;ROUNDUP(MONTH(D155)/3,0))</f>
        <v/>
      </c>
    </row>
    <row r="156">
      <c r="L156" s="5">
        <f>IF(D156="","",YEAR(D156)&amp;"-Q"&amp;ROUNDUP(MONTH(D156)/3,0))</f>
        <v/>
      </c>
    </row>
    <row r="157">
      <c r="L157" s="5">
        <f>IF(D157="","",YEAR(D157)&amp;"-Q"&amp;ROUNDUP(MONTH(D157)/3,0))</f>
        <v/>
      </c>
    </row>
    <row r="158">
      <c r="L158" s="5">
        <f>IF(D158="","",YEAR(D158)&amp;"-Q"&amp;ROUNDUP(MONTH(D158)/3,0))</f>
        <v/>
      </c>
    </row>
    <row r="159">
      <c r="L159" s="5">
        <f>IF(D159="","",YEAR(D159)&amp;"-Q"&amp;ROUNDUP(MONTH(D159)/3,0))</f>
        <v/>
      </c>
    </row>
    <row r="160">
      <c r="L160" s="5">
        <f>IF(D160="","",YEAR(D160)&amp;"-Q"&amp;ROUNDUP(MONTH(D160)/3,0))</f>
        <v/>
      </c>
    </row>
    <row r="161">
      <c r="L161" s="5">
        <f>IF(D161="","",YEAR(D161)&amp;"-Q"&amp;ROUNDUP(MONTH(D161)/3,0))</f>
        <v/>
      </c>
    </row>
    <row r="162">
      <c r="L162" s="5">
        <f>IF(D162="","",YEAR(D162)&amp;"-Q"&amp;ROUNDUP(MONTH(D162)/3,0))</f>
        <v/>
      </c>
    </row>
    <row r="163">
      <c r="L163" s="5">
        <f>IF(D163="","",YEAR(D163)&amp;"-Q"&amp;ROUNDUP(MONTH(D163)/3,0))</f>
        <v/>
      </c>
    </row>
    <row r="164">
      <c r="L164" s="5">
        <f>IF(D164="","",YEAR(D164)&amp;"-Q"&amp;ROUNDUP(MONTH(D164)/3,0))</f>
        <v/>
      </c>
    </row>
    <row r="165">
      <c r="L165" s="5">
        <f>IF(D165="","",YEAR(D165)&amp;"-Q"&amp;ROUNDUP(MONTH(D165)/3,0))</f>
        <v/>
      </c>
    </row>
    <row r="166">
      <c r="L166" s="5">
        <f>IF(D166="","",YEAR(D166)&amp;"-Q"&amp;ROUNDUP(MONTH(D166)/3,0))</f>
        <v/>
      </c>
    </row>
    <row r="167">
      <c r="L167" s="5">
        <f>IF(D167="","",YEAR(D167)&amp;"-Q"&amp;ROUNDUP(MONTH(D167)/3,0))</f>
        <v/>
      </c>
    </row>
    <row r="168">
      <c r="L168" s="5">
        <f>IF(D168="","",YEAR(D168)&amp;"-Q"&amp;ROUNDUP(MONTH(D168)/3,0))</f>
        <v/>
      </c>
    </row>
    <row r="169">
      <c r="L169" s="5">
        <f>IF(D169="","",YEAR(D169)&amp;"-Q"&amp;ROUNDUP(MONTH(D169)/3,0))</f>
        <v/>
      </c>
    </row>
    <row r="170">
      <c r="L170" s="5">
        <f>IF(D170="","",YEAR(D170)&amp;"-Q"&amp;ROUNDUP(MONTH(D170)/3,0))</f>
        <v/>
      </c>
    </row>
    <row r="171">
      <c r="L171" s="5">
        <f>IF(D171="","",YEAR(D171)&amp;"-Q"&amp;ROUNDUP(MONTH(D171)/3,0))</f>
        <v/>
      </c>
    </row>
    <row r="172">
      <c r="L172" s="5">
        <f>IF(D172="","",YEAR(D172)&amp;"-Q"&amp;ROUNDUP(MONTH(D172)/3,0))</f>
        <v/>
      </c>
    </row>
    <row r="173">
      <c r="L173" s="5">
        <f>IF(D173="","",YEAR(D173)&amp;"-Q"&amp;ROUNDUP(MONTH(D173)/3,0))</f>
        <v/>
      </c>
    </row>
    <row r="174">
      <c r="L174" s="5">
        <f>IF(D174="","",YEAR(D174)&amp;"-Q"&amp;ROUNDUP(MONTH(D174)/3,0))</f>
        <v/>
      </c>
    </row>
    <row r="175">
      <c r="L175" s="5">
        <f>IF(D175="","",YEAR(D175)&amp;"-Q"&amp;ROUNDUP(MONTH(D175)/3,0))</f>
        <v/>
      </c>
    </row>
    <row r="176">
      <c r="L176" s="5">
        <f>IF(D176="","",YEAR(D176)&amp;"-Q"&amp;ROUNDUP(MONTH(D176)/3,0))</f>
        <v/>
      </c>
    </row>
    <row r="177">
      <c r="L177" s="5">
        <f>IF(D177="","",YEAR(D177)&amp;"-Q"&amp;ROUNDUP(MONTH(D177)/3,0))</f>
        <v/>
      </c>
    </row>
    <row r="178">
      <c r="L178" s="5">
        <f>IF(D178="","",YEAR(D178)&amp;"-Q"&amp;ROUNDUP(MONTH(D178)/3,0))</f>
        <v/>
      </c>
    </row>
    <row r="179">
      <c r="L179" s="5">
        <f>IF(D179="","",YEAR(D179)&amp;"-Q"&amp;ROUNDUP(MONTH(D179)/3,0))</f>
        <v/>
      </c>
    </row>
    <row r="180">
      <c r="L180" s="5">
        <f>IF(D180="","",YEAR(D180)&amp;"-Q"&amp;ROUNDUP(MONTH(D180)/3,0))</f>
        <v/>
      </c>
    </row>
    <row r="181">
      <c r="L181" s="5">
        <f>IF(D181="","",YEAR(D181)&amp;"-Q"&amp;ROUNDUP(MONTH(D181)/3,0))</f>
        <v/>
      </c>
    </row>
    <row r="182">
      <c r="L182" s="5">
        <f>IF(D182="","",YEAR(D182)&amp;"-Q"&amp;ROUNDUP(MONTH(D182)/3,0))</f>
        <v/>
      </c>
    </row>
    <row r="183">
      <c r="L183" s="5">
        <f>IF(D183="","",YEAR(D183)&amp;"-Q"&amp;ROUNDUP(MONTH(D183)/3,0))</f>
        <v/>
      </c>
    </row>
    <row r="184">
      <c r="L184" s="5">
        <f>IF(D184="","",YEAR(D184)&amp;"-Q"&amp;ROUNDUP(MONTH(D184)/3,0))</f>
        <v/>
      </c>
    </row>
    <row r="185">
      <c r="L185" s="5">
        <f>IF(D185="","",YEAR(D185)&amp;"-Q"&amp;ROUNDUP(MONTH(D185)/3,0))</f>
        <v/>
      </c>
    </row>
    <row r="186">
      <c r="L186" s="5">
        <f>IF(D186="","",YEAR(D186)&amp;"-Q"&amp;ROUNDUP(MONTH(D186)/3,0))</f>
        <v/>
      </c>
    </row>
    <row r="187">
      <c r="L187" s="5">
        <f>IF(D187="","",YEAR(D187)&amp;"-Q"&amp;ROUNDUP(MONTH(D187)/3,0))</f>
        <v/>
      </c>
    </row>
    <row r="188">
      <c r="L188" s="5">
        <f>IF(D188="","",YEAR(D188)&amp;"-Q"&amp;ROUNDUP(MONTH(D188)/3,0))</f>
        <v/>
      </c>
    </row>
    <row r="189">
      <c r="L189" s="5">
        <f>IF(D189="","",YEAR(D189)&amp;"-Q"&amp;ROUNDUP(MONTH(D189)/3,0))</f>
        <v/>
      </c>
    </row>
    <row r="190">
      <c r="L190" s="5">
        <f>IF(D190="","",YEAR(D190)&amp;"-Q"&amp;ROUNDUP(MONTH(D190)/3,0))</f>
        <v/>
      </c>
    </row>
    <row r="191">
      <c r="L191" s="5">
        <f>IF(D191="","",YEAR(D191)&amp;"-Q"&amp;ROUNDUP(MONTH(D191)/3,0))</f>
        <v/>
      </c>
    </row>
    <row r="192">
      <c r="L192" s="5">
        <f>IF(D192="","",YEAR(D192)&amp;"-Q"&amp;ROUNDUP(MONTH(D192)/3,0))</f>
        <v/>
      </c>
    </row>
    <row r="193">
      <c r="L193" s="5">
        <f>IF(D193="","",YEAR(D193)&amp;"-Q"&amp;ROUNDUP(MONTH(D193)/3,0))</f>
        <v/>
      </c>
    </row>
    <row r="194">
      <c r="L194" s="5">
        <f>IF(D194="","",YEAR(D194)&amp;"-Q"&amp;ROUNDUP(MONTH(D194)/3,0))</f>
        <v/>
      </c>
    </row>
    <row r="195">
      <c r="L195" s="5">
        <f>IF(D195="","",YEAR(D195)&amp;"-Q"&amp;ROUNDUP(MONTH(D195)/3,0))</f>
        <v/>
      </c>
    </row>
    <row r="196">
      <c r="L196" s="5">
        <f>IF(D196="","",YEAR(D196)&amp;"-Q"&amp;ROUNDUP(MONTH(D196)/3,0))</f>
        <v/>
      </c>
    </row>
    <row r="197">
      <c r="L197" s="5">
        <f>IF(D197="","",YEAR(D197)&amp;"-Q"&amp;ROUNDUP(MONTH(D197)/3,0))</f>
        <v/>
      </c>
    </row>
    <row r="198">
      <c r="L198" s="5">
        <f>IF(D198="","",YEAR(D198)&amp;"-Q"&amp;ROUNDUP(MONTH(D198)/3,0))</f>
        <v/>
      </c>
    </row>
    <row r="199">
      <c r="L199" s="5">
        <f>IF(D199="","",YEAR(D199)&amp;"-Q"&amp;ROUNDUP(MONTH(D199)/3,0))</f>
        <v/>
      </c>
    </row>
    <row r="200">
      <c r="L200" s="5">
        <f>IF(D200="","",YEAR(D200)&amp;"-Q"&amp;ROUNDUP(MONTH(D200)/3,0))</f>
        <v/>
      </c>
    </row>
    <row r="201">
      <c r="L201" s="5">
        <f>IF(D201="","",YEAR(D201)&amp;"-Q"&amp;ROUNDUP(MONTH(D201)/3,0))</f>
        <v/>
      </c>
    </row>
    <row r="202">
      <c r="L202" s="5">
        <f>IF(D202="","",YEAR(D202)&amp;"-Q"&amp;ROUNDUP(MONTH(D202)/3,0))</f>
        <v/>
      </c>
    </row>
    <row r="203">
      <c r="L203" s="5">
        <f>IF(D203="","",YEAR(D203)&amp;"-Q"&amp;ROUNDUP(MONTH(D203)/3,0))</f>
        <v/>
      </c>
    </row>
    <row r="204">
      <c r="L204" s="5">
        <f>IF(D204="","",YEAR(D204)&amp;"-Q"&amp;ROUNDUP(MONTH(D204)/3,0))</f>
        <v/>
      </c>
    </row>
    <row r="205">
      <c r="L205" s="5">
        <f>IF(D205="","",YEAR(D205)&amp;"-Q"&amp;ROUNDUP(MONTH(D205)/3,0))</f>
        <v/>
      </c>
    </row>
    <row r="206">
      <c r="L206" s="5">
        <f>IF(D206="","",YEAR(D206)&amp;"-Q"&amp;ROUNDUP(MONTH(D206)/3,0))</f>
        <v/>
      </c>
    </row>
    <row r="207">
      <c r="L207" s="5">
        <f>IF(D207="","",YEAR(D207)&amp;"-Q"&amp;ROUNDUP(MONTH(D207)/3,0))</f>
        <v/>
      </c>
    </row>
    <row r="208">
      <c r="L208" s="5">
        <f>IF(D208="","",YEAR(D208)&amp;"-Q"&amp;ROUNDUP(MONTH(D208)/3,0))</f>
        <v/>
      </c>
    </row>
    <row r="209">
      <c r="L209" s="5">
        <f>IF(D209="","",YEAR(D209)&amp;"-Q"&amp;ROUNDUP(MONTH(D209)/3,0))</f>
        <v/>
      </c>
    </row>
    <row r="210">
      <c r="L210" s="5">
        <f>IF(D210="","",YEAR(D210)&amp;"-Q"&amp;ROUNDUP(MONTH(D210)/3,0))</f>
        <v/>
      </c>
    </row>
    <row r="211">
      <c r="L211" s="5">
        <f>IF(D211="","",YEAR(D211)&amp;"-Q"&amp;ROUNDUP(MONTH(D211)/3,0))</f>
        <v/>
      </c>
    </row>
    <row r="212">
      <c r="L212" s="5">
        <f>IF(D212="","",YEAR(D212)&amp;"-Q"&amp;ROUNDUP(MONTH(D212)/3,0))</f>
        <v/>
      </c>
    </row>
    <row r="213">
      <c r="L213" s="5">
        <f>IF(D213="","",YEAR(D213)&amp;"-Q"&amp;ROUNDUP(MONTH(D213)/3,0))</f>
        <v/>
      </c>
    </row>
    <row r="214">
      <c r="L214" s="5">
        <f>IF(D214="","",YEAR(D214)&amp;"-Q"&amp;ROUNDUP(MONTH(D214)/3,0))</f>
        <v/>
      </c>
    </row>
    <row r="215">
      <c r="L215" s="5">
        <f>IF(D215="","",YEAR(D215)&amp;"-Q"&amp;ROUNDUP(MONTH(D215)/3,0))</f>
        <v/>
      </c>
    </row>
    <row r="216">
      <c r="L216" s="5">
        <f>IF(D216="","",YEAR(D216)&amp;"-Q"&amp;ROUNDUP(MONTH(D216)/3,0))</f>
        <v/>
      </c>
    </row>
    <row r="217">
      <c r="L217" s="5">
        <f>IF(D217="","",YEAR(D217)&amp;"-Q"&amp;ROUNDUP(MONTH(D217)/3,0))</f>
        <v/>
      </c>
    </row>
    <row r="218">
      <c r="L218" s="5">
        <f>IF(D218="","",YEAR(D218)&amp;"-Q"&amp;ROUNDUP(MONTH(D218)/3,0))</f>
        <v/>
      </c>
    </row>
    <row r="219">
      <c r="L219" s="5">
        <f>IF(D219="","",YEAR(D219)&amp;"-Q"&amp;ROUNDUP(MONTH(D219)/3,0))</f>
        <v/>
      </c>
    </row>
    <row r="220">
      <c r="L220" s="5">
        <f>IF(D220="","",YEAR(D220)&amp;"-Q"&amp;ROUNDUP(MONTH(D220)/3,0))</f>
        <v/>
      </c>
    </row>
    <row r="221">
      <c r="L221" s="5">
        <f>IF(D221="","",YEAR(D221)&amp;"-Q"&amp;ROUNDUP(MONTH(D221)/3,0))</f>
        <v/>
      </c>
    </row>
    <row r="222">
      <c r="L222" s="5">
        <f>IF(D222="","",YEAR(D222)&amp;"-Q"&amp;ROUNDUP(MONTH(D222)/3,0))</f>
        <v/>
      </c>
    </row>
    <row r="223">
      <c r="L223" s="5">
        <f>IF(D223="","",YEAR(D223)&amp;"-Q"&amp;ROUNDUP(MONTH(D223)/3,0))</f>
        <v/>
      </c>
    </row>
    <row r="224">
      <c r="L224" s="5">
        <f>IF(D224="","",YEAR(D224)&amp;"-Q"&amp;ROUNDUP(MONTH(D224)/3,0))</f>
        <v/>
      </c>
    </row>
    <row r="225">
      <c r="L225" s="5">
        <f>IF(D225="","",YEAR(D225)&amp;"-Q"&amp;ROUNDUP(MONTH(D225)/3,0))</f>
        <v/>
      </c>
    </row>
    <row r="226">
      <c r="L226" s="5">
        <f>IF(D226="","",YEAR(D226)&amp;"-Q"&amp;ROUNDUP(MONTH(D226)/3,0))</f>
        <v/>
      </c>
    </row>
    <row r="227">
      <c r="L227" s="5">
        <f>IF(D227="","",YEAR(D227)&amp;"-Q"&amp;ROUNDUP(MONTH(D227)/3,0))</f>
        <v/>
      </c>
    </row>
    <row r="228">
      <c r="L228" s="5">
        <f>IF(D228="","",YEAR(D228)&amp;"-Q"&amp;ROUNDUP(MONTH(D228)/3,0))</f>
        <v/>
      </c>
    </row>
    <row r="229">
      <c r="L229" s="5">
        <f>IF(D229="","",YEAR(D229)&amp;"-Q"&amp;ROUNDUP(MONTH(D229)/3,0))</f>
        <v/>
      </c>
    </row>
    <row r="230">
      <c r="L230" s="5">
        <f>IF(D230="","",YEAR(D230)&amp;"-Q"&amp;ROUNDUP(MONTH(D230)/3,0))</f>
        <v/>
      </c>
    </row>
    <row r="231">
      <c r="L231" s="5">
        <f>IF(D231="","",YEAR(D231)&amp;"-Q"&amp;ROUNDUP(MONTH(D231)/3,0))</f>
        <v/>
      </c>
    </row>
    <row r="232">
      <c r="L232" s="5">
        <f>IF(D232="","",YEAR(D232)&amp;"-Q"&amp;ROUNDUP(MONTH(D232)/3,0))</f>
        <v/>
      </c>
    </row>
    <row r="233">
      <c r="L233" s="5">
        <f>IF(D233="","",YEAR(D233)&amp;"-Q"&amp;ROUNDUP(MONTH(D233)/3,0))</f>
        <v/>
      </c>
    </row>
    <row r="234">
      <c r="L234" s="5">
        <f>IF(D234="","",YEAR(D234)&amp;"-Q"&amp;ROUNDUP(MONTH(D234)/3,0))</f>
        <v/>
      </c>
    </row>
    <row r="235">
      <c r="L235" s="5">
        <f>IF(D235="","",YEAR(D235)&amp;"-Q"&amp;ROUNDUP(MONTH(D235)/3,0))</f>
        <v/>
      </c>
    </row>
    <row r="236">
      <c r="L236" s="5">
        <f>IF(D236="","",YEAR(D236)&amp;"-Q"&amp;ROUNDUP(MONTH(D236)/3,0))</f>
        <v/>
      </c>
    </row>
    <row r="237">
      <c r="L237" s="5">
        <f>IF(D237="","",YEAR(D237)&amp;"-Q"&amp;ROUNDUP(MONTH(D237)/3,0))</f>
        <v/>
      </c>
    </row>
    <row r="238">
      <c r="L238" s="5">
        <f>IF(D238="","",YEAR(D238)&amp;"-Q"&amp;ROUNDUP(MONTH(D238)/3,0))</f>
        <v/>
      </c>
    </row>
    <row r="239">
      <c r="L239" s="5">
        <f>IF(D239="","",YEAR(D239)&amp;"-Q"&amp;ROUNDUP(MONTH(D239)/3,0))</f>
        <v/>
      </c>
    </row>
    <row r="240">
      <c r="L240" s="5">
        <f>IF(D240="","",YEAR(D240)&amp;"-Q"&amp;ROUNDUP(MONTH(D240)/3,0))</f>
        <v/>
      </c>
    </row>
    <row r="241">
      <c r="L241" s="5">
        <f>IF(D241="","",YEAR(D241)&amp;"-Q"&amp;ROUNDUP(MONTH(D241)/3,0))</f>
        <v/>
      </c>
    </row>
    <row r="242">
      <c r="L242" s="5">
        <f>IF(D242="","",YEAR(D242)&amp;"-Q"&amp;ROUNDUP(MONTH(D242)/3,0))</f>
        <v/>
      </c>
    </row>
    <row r="243">
      <c r="L243" s="5">
        <f>IF(D243="","",YEAR(D243)&amp;"-Q"&amp;ROUNDUP(MONTH(D243)/3,0))</f>
        <v/>
      </c>
    </row>
    <row r="244">
      <c r="L244" s="5">
        <f>IF(D244="","",YEAR(D244)&amp;"-Q"&amp;ROUNDUP(MONTH(D244)/3,0))</f>
        <v/>
      </c>
    </row>
    <row r="245">
      <c r="L245" s="5">
        <f>IF(D245="","",YEAR(D245)&amp;"-Q"&amp;ROUNDUP(MONTH(D245)/3,0))</f>
        <v/>
      </c>
    </row>
    <row r="246">
      <c r="L246" s="5">
        <f>IF(D246="","",YEAR(D246)&amp;"-Q"&amp;ROUNDUP(MONTH(D246)/3,0))</f>
        <v/>
      </c>
    </row>
    <row r="247">
      <c r="L247" s="5">
        <f>IF(D247="","",YEAR(D247)&amp;"-Q"&amp;ROUNDUP(MONTH(D247)/3,0))</f>
        <v/>
      </c>
    </row>
    <row r="248">
      <c r="L248" s="5">
        <f>IF(D248="","",YEAR(D248)&amp;"-Q"&amp;ROUNDUP(MONTH(D248)/3,0))</f>
        <v/>
      </c>
    </row>
    <row r="249">
      <c r="L249" s="5">
        <f>IF(D249="","",YEAR(D249)&amp;"-Q"&amp;ROUNDUP(MONTH(D249)/3,0))</f>
        <v/>
      </c>
    </row>
    <row r="250">
      <c r="L250" s="5">
        <f>IF(D250="","",YEAR(D250)&amp;"-Q"&amp;ROUNDUP(MONTH(D250)/3,0))</f>
        <v/>
      </c>
    </row>
    <row r="251">
      <c r="L251" s="5">
        <f>IF(D251="","",YEAR(D251)&amp;"-Q"&amp;ROUNDUP(MONTH(D251)/3,0))</f>
        <v/>
      </c>
    </row>
    <row r="252">
      <c r="L252" s="5">
        <f>IF(D252="","",YEAR(D252)&amp;"-Q"&amp;ROUNDUP(MONTH(D252)/3,0))</f>
        <v/>
      </c>
    </row>
    <row r="253">
      <c r="L253" s="5">
        <f>IF(D253="","",YEAR(D253)&amp;"-Q"&amp;ROUNDUP(MONTH(D253)/3,0))</f>
        <v/>
      </c>
    </row>
    <row r="254">
      <c r="L254" s="5">
        <f>IF(D254="","",YEAR(D254)&amp;"-Q"&amp;ROUNDUP(MONTH(D254)/3,0))</f>
        <v/>
      </c>
    </row>
    <row r="255">
      <c r="L255" s="5">
        <f>IF(D255="","",YEAR(D255)&amp;"-Q"&amp;ROUNDUP(MONTH(D255)/3,0))</f>
        <v/>
      </c>
    </row>
    <row r="256">
      <c r="L256" s="5">
        <f>IF(D256="","",YEAR(D256)&amp;"-Q"&amp;ROUNDUP(MONTH(D256)/3,0))</f>
        <v/>
      </c>
    </row>
    <row r="257">
      <c r="L257" s="5">
        <f>IF(D257="","",YEAR(D257)&amp;"-Q"&amp;ROUNDUP(MONTH(D257)/3,0))</f>
        <v/>
      </c>
    </row>
    <row r="258">
      <c r="L258" s="5">
        <f>IF(D258="","",YEAR(D258)&amp;"-Q"&amp;ROUNDUP(MONTH(D258)/3,0))</f>
        <v/>
      </c>
    </row>
    <row r="259">
      <c r="L259" s="5">
        <f>IF(D259="","",YEAR(D259)&amp;"-Q"&amp;ROUNDUP(MONTH(D259)/3,0))</f>
        <v/>
      </c>
    </row>
    <row r="260">
      <c r="L260" s="5">
        <f>IF(D260="","",YEAR(D260)&amp;"-Q"&amp;ROUNDUP(MONTH(D260)/3,0))</f>
        <v/>
      </c>
    </row>
    <row r="261">
      <c r="L261" s="5">
        <f>IF(D261="","",YEAR(D261)&amp;"-Q"&amp;ROUNDUP(MONTH(D261)/3,0))</f>
        <v/>
      </c>
    </row>
    <row r="262">
      <c r="L262" s="5">
        <f>IF(D262="","",YEAR(D262)&amp;"-Q"&amp;ROUNDUP(MONTH(D262)/3,0))</f>
        <v/>
      </c>
    </row>
    <row r="263">
      <c r="L263" s="5">
        <f>IF(D263="","",YEAR(D263)&amp;"-Q"&amp;ROUNDUP(MONTH(D263)/3,0))</f>
        <v/>
      </c>
    </row>
    <row r="264">
      <c r="L264" s="5">
        <f>IF(D264="","",YEAR(D264)&amp;"-Q"&amp;ROUNDUP(MONTH(D264)/3,0))</f>
        <v/>
      </c>
    </row>
    <row r="265">
      <c r="L265" s="5">
        <f>IF(D265="","",YEAR(D265)&amp;"-Q"&amp;ROUNDUP(MONTH(D265)/3,0))</f>
        <v/>
      </c>
    </row>
    <row r="266">
      <c r="L266" s="5">
        <f>IF(D266="","",YEAR(D266)&amp;"-Q"&amp;ROUNDUP(MONTH(D266)/3,0))</f>
        <v/>
      </c>
    </row>
    <row r="267">
      <c r="L267" s="5">
        <f>IF(D267="","",YEAR(D267)&amp;"-Q"&amp;ROUNDUP(MONTH(D267)/3,0))</f>
        <v/>
      </c>
    </row>
    <row r="268">
      <c r="L268" s="5">
        <f>IF(D268="","",YEAR(D268)&amp;"-Q"&amp;ROUNDUP(MONTH(D268)/3,0))</f>
        <v/>
      </c>
    </row>
    <row r="269">
      <c r="L269" s="5">
        <f>IF(D269="","",YEAR(D269)&amp;"-Q"&amp;ROUNDUP(MONTH(D269)/3,0))</f>
        <v/>
      </c>
    </row>
    <row r="270">
      <c r="L270" s="5">
        <f>IF(D270="","",YEAR(D270)&amp;"-Q"&amp;ROUNDUP(MONTH(D270)/3,0))</f>
        <v/>
      </c>
    </row>
    <row r="271">
      <c r="L271" s="5">
        <f>IF(D271="","",YEAR(D271)&amp;"-Q"&amp;ROUNDUP(MONTH(D271)/3,0))</f>
        <v/>
      </c>
    </row>
    <row r="272">
      <c r="L272" s="5">
        <f>IF(D272="","",YEAR(D272)&amp;"-Q"&amp;ROUNDUP(MONTH(D272)/3,0))</f>
        <v/>
      </c>
    </row>
    <row r="273">
      <c r="L273" s="5">
        <f>IF(D273="","",YEAR(D273)&amp;"-Q"&amp;ROUNDUP(MONTH(D273)/3,0))</f>
        <v/>
      </c>
    </row>
    <row r="274">
      <c r="L274" s="5">
        <f>IF(D274="","",YEAR(D274)&amp;"-Q"&amp;ROUNDUP(MONTH(D274)/3,0))</f>
        <v/>
      </c>
    </row>
    <row r="275">
      <c r="L275" s="5">
        <f>IF(D275="","",YEAR(D275)&amp;"-Q"&amp;ROUNDUP(MONTH(D275)/3,0))</f>
        <v/>
      </c>
    </row>
    <row r="276">
      <c r="L276" s="5">
        <f>IF(D276="","",YEAR(D276)&amp;"-Q"&amp;ROUNDUP(MONTH(D276)/3,0))</f>
        <v/>
      </c>
    </row>
    <row r="277">
      <c r="L277" s="5">
        <f>IF(D277="","",YEAR(D277)&amp;"-Q"&amp;ROUNDUP(MONTH(D277)/3,0))</f>
        <v/>
      </c>
    </row>
    <row r="278">
      <c r="L278" s="5">
        <f>IF(D278="","",YEAR(D278)&amp;"-Q"&amp;ROUNDUP(MONTH(D278)/3,0))</f>
        <v/>
      </c>
    </row>
    <row r="279">
      <c r="L279" s="5">
        <f>IF(D279="","",YEAR(D279)&amp;"-Q"&amp;ROUNDUP(MONTH(D279)/3,0))</f>
        <v/>
      </c>
    </row>
    <row r="280">
      <c r="L280" s="5">
        <f>IF(D280="","",YEAR(D280)&amp;"-Q"&amp;ROUNDUP(MONTH(D280)/3,0))</f>
        <v/>
      </c>
    </row>
    <row r="281">
      <c r="L281" s="5">
        <f>IF(D281="","",YEAR(D281)&amp;"-Q"&amp;ROUNDUP(MONTH(D281)/3,0))</f>
        <v/>
      </c>
    </row>
    <row r="282">
      <c r="L282" s="5">
        <f>IF(D282="","",YEAR(D282)&amp;"-Q"&amp;ROUNDUP(MONTH(D282)/3,0))</f>
        <v/>
      </c>
    </row>
    <row r="283">
      <c r="L283" s="5">
        <f>IF(D283="","",YEAR(D283)&amp;"-Q"&amp;ROUNDUP(MONTH(D283)/3,0))</f>
        <v/>
      </c>
    </row>
    <row r="284">
      <c r="L284" s="5">
        <f>IF(D284="","",YEAR(D284)&amp;"-Q"&amp;ROUNDUP(MONTH(D284)/3,0))</f>
        <v/>
      </c>
    </row>
    <row r="285">
      <c r="L285" s="5">
        <f>IF(D285="","",YEAR(D285)&amp;"-Q"&amp;ROUNDUP(MONTH(D285)/3,0))</f>
        <v/>
      </c>
    </row>
    <row r="286">
      <c r="L286" s="5">
        <f>IF(D286="","",YEAR(D286)&amp;"-Q"&amp;ROUNDUP(MONTH(D286)/3,0))</f>
        <v/>
      </c>
    </row>
    <row r="287">
      <c r="L287" s="5">
        <f>IF(D287="","",YEAR(D287)&amp;"-Q"&amp;ROUNDUP(MONTH(D287)/3,0))</f>
        <v/>
      </c>
    </row>
    <row r="288">
      <c r="L288" s="5">
        <f>IF(D288="","",YEAR(D288)&amp;"-Q"&amp;ROUNDUP(MONTH(D288)/3,0))</f>
        <v/>
      </c>
    </row>
    <row r="289">
      <c r="L289" s="5">
        <f>IF(D289="","",YEAR(D289)&amp;"-Q"&amp;ROUNDUP(MONTH(D289)/3,0))</f>
        <v/>
      </c>
    </row>
    <row r="290">
      <c r="L290" s="5">
        <f>IF(D290="","",YEAR(D290)&amp;"-Q"&amp;ROUNDUP(MONTH(D290)/3,0))</f>
        <v/>
      </c>
    </row>
    <row r="291">
      <c r="L291" s="5">
        <f>IF(D291="","",YEAR(D291)&amp;"-Q"&amp;ROUNDUP(MONTH(D291)/3,0))</f>
        <v/>
      </c>
    </row>
    <row r="292">
      <c r="L292" s="5">
        <f>IF(D292="","",YEAR(D292)&amp;"-Q"&amp;ROUNDUP(MONTH(D292)/3,0))</f>
        <v/>
      </c>
    </row>
    <row r="293">
      <c r="L293" s="5">
        <f>IF(D293="","",YEAR(D293)&amp;"-Q"&amp;ROUNDUP(MONTH(D293)/3,0))</f>
        <v/>
      </c>
    </row>
    <row r="294">
      <c r="L294" s="5">
        <f>IF(D294="","",YEAR(D294)&amp;"-Q"&amp;ROUNDUP(MONTH(D294)/3,0))</f>
        <v/>
      </c>
    </row>
    <row r="295">
      <c r="L295" s="5">
        <f>IF(D295="","",YEAR(D295)&amp;"-Q"&amp;ROUNDUP(MONTH(D295)/3,0))</f>
        <v/>
      </c>
    </row>
    <row r="296">
      <c r="L296" s="5">
        <f>IF(D296="","",YEAR(D296)&amp;"-Q"&amp;ROUNDUP(MONTH(D296)/3,0))</f>
        <v/>
      </c>
    </row>
    <row r="297">
      <c r="L297" s="5">
        <f>IF(D297="","",YEAR(D297)&amp;"-Q"&amp;ROUNDUP(MONTH(D297)/3,0))</f>
        <v/>
      </c>
    </row>
    <row r="298">
      <c r="L298" s="5">
        <f>IF(D298="","",YEAR(D298)&amp;"-Q"&amp;ROUNDUP(MONTH(D298)/3,0))</f>
        <v/>
      </c>
    </row>
    <row r="299">
      <c r="L299" s="5">
        <f>IF(D299="","",YEAR(D299)&amp;"-Q"&amp;ROUNDUP(MONTH(D299)/3,0))</f>
        <v/>
      </c>
    </row>
    <row r="300">
      <c r="L300" s="5">
        <f>IF(D300="","",YEAR(D300)&amp;"-Q"&amp;ROUNDUP(MONTH(D300)/3,0))</f>
        <v/>
      </c>
    </row>
    <row r="301">
      <c r="L301" s="5">
        <f>IF(D301="","",YEAR(D301)&amp;"-Q"&amp;ROUNDUP(MONTH(D301)/3,0))</f>
        <v/>
      </c>
    </row>
    <row r="302">
      <c r="L302" s="5">
        <f>IF(D302="","",YEAR(D302)&amp;"-Q"&amp;ROUNDUP(MONTH(D302)/3,0))</f>
        <v/>
      </c>
    </row>
    <row r="303">
      <c r="L303" s="5">
        <f>IF(D303="","",YEAR(D303)&amp;"-Q"&amp;ROUNDUP(MONTH(D303)/3,0))</f>
        <v/>
      </c>
    </row>
    <row r="304">
      <c r="L304" s="5">
        <f>IF(D304="","",YEAR(D304)&amp;"-Q"&amp;ROUNDUP(MONTH(D304)/3,0))</f>
        <v/>
      </c>
    </row>
    <row r="305">
      <c r="L305" s="5">
        <f>IF(D305="","",YEAR(D305)&amp;"-Q"&amp;ROUNDUP(MONTH(D305)/3,0))</f>
        <v/>
      </c>
    </row>
    <row r="306">
      <c r="L306" s="5">
        <f>IF(D306="","",YEAR(D306)&amp;"-Q"&amp;ROUNDUP(MONTH(D306)/3,0))</f>
        <v/>
      </c>
    </row>
    <row r="307">
      <c r="L307" s="5">
        <f>IF(D307="","",YEAR(D307)&amp;"-Q"&amp;ROUNDUP(MONTH(D307)/3,0))</f>
        <v/>
      </c>
    </row>
    <row r="308">
      <c r="L308" s="5">
        <f>IF(D308="","",YEAR(D308)&amp;"-Q"&amp;ROUNDUP(MONTH(D308)/3,0))</f>
        <v/>
      </c>
    </row>
    <row r="309">
      <c r="L309" s="5">
        <f>IF(D309="","",YEAR(D309)&amp;"-Q"&amp;ROUNDUP(MONTH(D309)/3,0))</f>
        <v/>
      </c>
    </row>
    <row r="310">
      <c r="L310" s="5">
        <f>IF(D310="","",YEAR(D310)&amp;"-Q"&amp;ROUNDUP(MONTH(D310)/3,0))</f>
        <v/>
      </c>
    </row>
    <row r="311">
      <c r="L311" s="5">
        <f>IF(D311="","",YEAR(D311)&amp;"-Q"&amp;ROUNDUP(MONTH(D311)/3,0))</f>
        <v/>
      </c>
    </row>
    <row r="312">
      <c r="L312" s="5">
        <f>IF(D312="","",YEAR(D312)&amp;"-Q"&amp;ROUNDUP(MONTH(D312)/3,0))</f>
        <v/>
      </c>
    </row>
    <row r="313">
      <c r="L313" s="5">
        <f>IF(D313="","",YEAR(D313)&amp;"-Q"&amp;ROUNDUP(MONTH(D313)/3,0))</f>
        <v/>
      </c>
    </row>
    <row r="314">
      <c r="L314" s="5">
        <f>IF(D314="","",YEAR(D314)&amp;"-Q"&amp;ROUNDUP(MONTH(D314)/3,0))</f>
        <v/>
      </c>
    </row>
    <row r="315">
      <c r="L315" s="5">
        <f>IF(D315="","",YEAR(D315)&amp;"-Q"&amp;ROUNDUP(MONTH(D315)/3,0))</f>
        <v/>
      </c>
    </row>
    <row r="316">
      <c r="L316" s="5">
        <f>IF(D316="","",YEAR(D316)&amp;"-Q"&amp;ROUNDUP(MONTH(D316)/3,0))</f>
        <v/>
      </c>
    </row>
    <row r="317">
      <c r="L317" s="5">
        <f>IF(D317="","",YEAR(D317)&amp;"-Q"&amp;ROUNDUP(MONTH(D317)/3,0))</f>
        <v/>
      </c>
    </row>
    <row r="318">
      <c r="L318" s="5">
        <f>IF(D318="","",YEAR(D318)&amp;"-Q"&amp;ROUNDUP(MONTH(D318)/3,0))</f>
        <v/>
      </c>
    </row>
    <row r="319">
      <c r="L319" s="5">
        <f>IF(D319="","",YEAR(D319)&amp;"-Q"&amp;ROUNDUP(MONTH(D319)/3,0))</f>
        <v/>
      </c>
    </row>
    <row r="320">
      <c r="L320" s="5">
        <f>IF(D320="","",YEAR(D320)&amp;"-Q"&amp;ROUNDUP(MONTH(D320)/3,0))</f>
        <v/>
      </c>
    </row>
    <row r="321">
      <c r="L321" s="5">
        <f>IF(D321="","",YEAR(D321)&amp;"-Q"&amp;ROUNDUP(MONTH(D321)/3,0))</f>
        <v/>
      </c>
    </row>
    <row r="322">
      <c r="L322" s="5">
        <f>IF(D322="","",YEAR(D322)&amp;"-Q"&amp;ROUNDUP(MONTH(D322)/3,0))</f>
        <v/>
      </c>
    </row>
    <row r="323">
      <c r="L323" s="5">
        <f>IF(D323="","",YEAR(D323)&amp;"-Q"&amp;ROUNDUP(MONTH(D323)/3,0))</f>
        <v/>
      </c>
    </row>
    <row r="324">
      <c r="L324" s="5">
        <f>IF(D324="","",YEAR(D324)&amp;"-Q"&amp;ROUNDUP(MONTH(D324)/3,0))</f>
        <v/>
      </c>
    </row>
    <row r="325">
      <c r="L325" s="5">
        <f>IF(D325="","",YEAR(D325)&amp;"-Q"&amp;ROUNDUP(MONTH(D325)/3,0))</f>
        <v/>
      </c>
    </row>
    <row r="326">
      <c r="L326" s="5">
        <f>IF(D326="","",YEAR(D326)&amp;"-Q"&amp;ROUNDUP(MONTH(D326)/3,0))</f>
        <v/>
      </c>
    </row>
    <row r="327">
      <c r="L327" s="5">
        <f>IF(D327="","",YEAR(D327)&amp;"-Q"&amp;ROUNDUP(MONTH(D327)/3,0))</f>
        <v/>
      </c>
    </row>
    <row r="328">
      <c r="L328" s="5">
        <f>IF(D328="","",YEAR(D328)&amp;"-Q"&amp;ROUNDUP(MONTH(D328)/3,0))</f>
        <v/>
      </c>
    </row>
    <row r="329">
      <c r="L329" s="5">
        <f>IF(D329="","",YEAR(D329)&amp;"-Q"&amp;ROUNDUP(MONTH(D329)/3,0))</f>
        <v/>
      </c>
    </row>
    <row r="330">
      <c r="L330" s="5">
        <f>IF(D330="","",YEAR(D330)&amp;"-Q"&amp;ROUNDUP(MONTH(D330)/3,0))</f>
        <v/>
      </c>
    </row>
    <row r="331">
      <c r="L331" s="5">
        <f>IF(D331="","",YEAR(D331)&amp;"-Q"&amp;ROUNDUP(MONTH(D331)/3,0))</f>
        <v/>
      </c>
    </row>
    <row r="332">
      <c r="L332" s="5">
        <f>IF(D332="","",YEAR(D332)&amp;"-Q"&amp;ROUNDUP(MONTH(D332)/3,0))</f>
        <v/>
      </c>
    </row>
    <row r="333">
      <c r="L333" s="5">
        <f>IF(D333="","",YEAR(D333)&amp;"-Q"&amp;ROUNDUP(MONTH(D333)/3,0))</f>
        <v/>
      </c>
    </row>
    <row r="334">
      <c r="L334" s="5">
        <f>IF(D334="","",YEAR(D334)&amp;"-Q"&amp;ROUNDUP(MONTH(D334)/3,0))</f>
        <v/>
      </c>
    </row>
    <row r="335">
      <c r="L335" s="5">
        <f>IF(D335="","",YEAR(D335)&amp;"-Q"&amp;ROUNDUP(MONTH(D335)/3,0))</f>
        <v/>
      </c>
    </row>
    <row r="336">
      <c r="L336" s="5">
        <f>IF(D336="","",YEAR(D336)&amp;"-Q"&amp;ROUNDUP(MONTH(D336)/3,0))</f>
        <v/>
      </c>
    </row>
    <row r="337">
      <c r="L337" s="5">
        <f>IF(D337="","",YEAR(D337)&amp;"-Q"&amp;ROUNDUP(MONTH(D337)/3,0))</f>
        <v/>
      </c>
    </row>
    <row r="338">
      <c r="L338" s="5">
        <f>IF(D338="","",YEAR(D338)&amp;"-Q"&amp;ROUNDUP(MONTH(D338)/3,0))</f>
        <v/>
      </c>
    </row>
    <row r="339">
      <c r="L339" s="5">
        <f>IF(D339="","",YEAR(D339)&amp;"-Q"&amp;ROUNDUP(MONTH(D339)/3,0))</f>
        <v/>
      </c>
    </row>
    <row r="340">
      <c r="L340" s="5">
        <f>IF(D340="","",YEAR(D340)&amp;"-Q"&amp;ROUNDUP(MONTH(D340)/3,0))</f>
        <v/>
      </c>
    </row>
    <row r="341">
      <c r="L341" s="5">
        <f>IF(D341="","",YEAR(D341)&amp;"-Q"&amp;ROUNDUP(MONTH(D341)/3,0))</f>
        <v/>
      </c>
    </row>
    <row r="342">
      <c r="L342" s="5">
        <f>IF(D342="","",YEAR(D342)&amp;"-Q"&amp;ROUNDUP(MONTH(D342)/3,0))</f>
        <v/>
      </c>
    </row>
    <row r="343">
      <c r="L343" s="5">
        <f>IF(D343="","",YEAR(D343)&amp;"-Q"&amp;ROUNDUP(MONTH(D343)/3,0))</f>
        <v/>
      </c>
    </row>
    <row r="344">
      <c r="L344" s="5">
        <f>IF(D344="","",YEAR(D344)&amp;"-Q"&amp;ROUNDUP(MONTH(D344)/3,0))</f>
        <v/>
      </c>
    </row>
    <row r="345">
      <c r="L345" s="5">
        <f>IF(D345="","",YEAR(D345)&amp;"-Q"&amp;ROUNDUP(MONTH(D345)/3,0))</f>
        <v/>
      </c>
    </row>
    <row r="346">
      <c r="L346" s="5">
        <f>IF(D346="","",YEAR(D346)&amp;"-Q"&amp;ROUNDUP(MONTH(D346)/3,0))</f>
        <v/>
      </c>
    </row>
    <row r="347">
      <c r="L347" s="5">
        <f>IF(D347="","",YEAR(D347)&amp;"-Q"&amp;ROUNDUP(MONTH(D347)/3,0))</f>
        <v/>
      </c>
    </row>
    <row r="348">
      <c r="L348" s="5">
        <f>IF(D348="","",YEAR(D348)&amp;"-Q"&amp;ROUNDUP(MONTH(D348)/3,0))</f>
        <v/>
      </c>
    </row>
    <row r="349">
      <c r="L349" s="5">
        <f>IF(D349="","",YEAR(D349)&amp;"-Q"&amp;ROUNDUP(MONTH(D349)/3,0))</f>
        <v/>
      </c>
    </row>
    <row r="350">
      <c r="L350" s="5">
        <f>IF(D350="","",YEAR(D350)&amp;"-Q"&amp;ROUNDUP(MONTH(D350)/3,0))</f>
        <v/>
      </c>
    </row>
    <row r="351">
      <c r="L351" s="5">
        <f>IF(D351="","",YEAR(D351)&amp;"-Q"&amp;ROUNDUP(MONTH(D351)/3,0))</f>
        <v/>
      </c>
    </row>
    <row r="352">
      <c r="L352" s="5">
        <f>IF(D352="","",YEAR(D352)&amp;"-Q"&amp;ROUNDUP(MONTH(D352)/3,0))</f>
        <v/>
      </c>
    </row>
    <row r="353">
      <c r="L353" s="5">
        <f>IF(D353="","",YEAR(D353)&amp;"-Q"&amp;ROUNDUP(MONTH(D353)/3,0))</f>
        <v/>
      </c>
    </row>
    <row r="354">
      <c r="L354" s="5">
        <f>IF(D354="","",YEAR(D354)&amp;"-Q"&amp;ROUNDUP(MONTH(D354)/3,0))</f>
        <v/>
      </c>
    </row>
    <row r="355">
      <c r="L355" s="5">
        <f>IF(D355="","",YEAR(D355)&amp;"-Q"&amp;ROUNDUP(MONTH(D355)/3,0))</f>
        <v/>
      </c>
    </row>
    <row r="356">
      <c r="L356" s="5">
        <f>IF(D356="","",YEAR(D356)&amp;"-Q"&amp;ROUNDUP(MONTH(D356)/3,0))</f>
        <v/>
      </c>
    </row>
    <row r="357">
      <c r="L357" s="5">
        <f>IF(D357="","",YEAR(D357)&amp;"-Q"&amp;ROUNDUP(MONTH(D357)/3,0))</f>
        <v/>
      </c>
    </row>
    <row r="358">
      <c r="L358" s="5">
        <f>IF(D358="","",YEAR(D358)&amp;"-Q"&amp;ROUNDUP(MONTH(D358)/3,0))</f>
        <v/>
      </c>
    </row>
    <row r="359">
      <c r="L359" s="5">
        <f>IF(D359="","",YEAR(D359)&amp;"-Q"&amp;ROUNDUP(MONTH(D359)/3,0))</f>
        <v/>
      </c>
    </row>
    <row r="360">
      <c r="L360" s="5">
        <f>IF(D360="","",YEAR(D360)&amp;"-Q"&amp;ROUNDUP(MONTH(D360)/3,0))</f>
        <v/>
      </c>
    </row>
    <row r="361">
      <c r="L361" s="5">
        <f>IF(D361="","",YEAR(D361)&amp;"-Q"&amp;ROUNDUP(MONTH(D361)/3,0))</f>
        <v/>
      </c>
    </row>
    <row r="362">
      <c r="L362" s="5">
        <f>IF(D362="","",YEAR(D362)&amp;"-Q"&amp;ROUNDUP(MONTH(D362)/3,0))</f>
        <v/>
      </c>
    </row>
    <row r="363">
      <c r="L363" s="5">
        <f>IF(D363="","",YEAR(D363)&amp;"-Q"&amp;ROUNDUP(MONTH(D363)/3,0))</f>
        <v/>
      </c>
    </row>
    <row r="364">
      <c r="L364" s="5">
        <f>IF(D364="","",YEAR(D364)&amp;"-Q"&amp;ROUNDUP(MONTH(D364)/3,0))</f>
        <v/>
      </c>
    </row>
    <row r="365">
      <c r="L365" s="5">
        <f>IF(D365="","",YEAR(D365)&amp;"-Q"&amp;ROUNDUP(MONTH(D365)/3,0))</f>
        <v/>
      </c>
    </row>
    <row r="366">
      <c r="L366" s="5">
        <f>IF(D366="","",YEAR(D366)&amp;"-Q"&amp;ROUNDUP(MONTH(D366)/3,0))</f>
        <v/>
      </c>
    </row>
    <row r="367">
      <c r="L367" s="5">
        <f>IF(D367="","",YEAR(D367)&amp;"-Q"&amp;ROUNDUP(MONTH(D367)/3,0))</f>
        <v/>
      </c>
    </row>
    <row r="368">
      <c r="L368" s="5">
        <f>IF(D368="","",YEAR(D368)&amp;"-Q"&amp;ROUNDUP(MONTH(D368)/3,0))</f>
        <v/>
      </c>
    </row>
    <row r="369">
      <c r="L369" s="5">
        <f>IF(D369="","",YEAR(D369)&amp;"-Q"&amp;ROUNDUP(MONTH(D369)/3,0))</f>
        <v/>
      </c>
    </row>
    <row r="370">
      <c r="L370" s="5">
        <f>IF(D370="","",YEAR(D370)&amp;"-Q"&amp;ROUNDUP(MONTH(D370)/3,0))</f>
        <v/>
      </c>
    </row>
    <row r="371">
      <c r="L371" s="5">
        <f>IF(D371="","",YEAR(D371)&amp;"-Q"&amp;ROUNDUP(MONTH(D371)/3,0))</f>
        <v/>
      </c>
    </row>
    <row r="372">
      <c r="L372" s="5">
        <f>IF(D372="","",YEAR(D372)&amp;"-Q"&amp;ROUNDUP(MONTH(D372)/3,0))</f>
        <v/>
      </c>
    </row>
    <row r="373">
      <c r="L373" s="5">
        <f>IF(D373="","",YEAR(D373)&amp;"-Q"&amp;ROUNDUP(MONTH(D373)/3,0))</f>
        <v/>
      </c>
    </row>
    <row r="374">
      <c r="L374" s="5">
        <f>IF(D374="","",YEAR(D374)&amp;"-Q"&amp;ROUNDUP(MONTH(D374)/3,0))</f>
        <v/>
      </c>
    </row>
    <row r="375">
      <c r="L375" s="5">
        <f>IF(D375="","",YEAR(D375)&amp;"-Q"&amp;ROUNDUP(MONTH(D375)/3,0))</f>
        <v/>
      </c>
    </row>
    <row r="376">
      <c r="L376" s="5">
        <f>IF(D376="","",YEAR(D376)&amp;"-Q"&amp;ROUNDUP(MONTH(D376)/3,0))</f>
        <v/>
      </c>
    </row>
    <row r="377">
      <c r="L377" s="5">
        <f>IF(D377="","",YEAR(D377)&amp;"-Q"&amp;ROUNDUP(MONTH(D377)/3,0))</f>
        <v/>
      </c>
    </row>
    <row r="378">
      <c r="L378" s="5">
        <f>IF(D378="","",YEAR(D378)&amp;"-Q"&amp;ROUNDUP(MONTH(D378)/3,0))</f>
        <v/>
      </c>
    </row>
    <row r="379">
      <c r="L379" s="5">
        <f>IF(D379="","",YEAR(D379)&amp;"-Q"&amp;ROUNDUP(MONTH(D379)/3,0))</f>
        <v/>
      </c>
    </row>
    <row r="380">
      <c r="L380" s="5">
        <f>IF(D380="","",YEAR(D380)&amp;"-Q"&amp;ROUNDUP(MONTH(D380)/3,0))</f>
        <v/>
      </c>
    </row>
    <row r="381">
      <c r="L381" s="5">
        <f>IF(D381="","",YEAR(D381)&amp;"-Q"&amp;ROUNDUP(MONTH(D381)/3,0))</f>
        <v/>
      </c>
    </row>
    <row r="382">
      <c r="L382" s="5">
        <f>IF(D382="","",YEAR(D382)&amp;"-Q"&amp;ROUNDUP(MONTH(D382)/3,0))</f>
        <v/>
      </c>
    </row>
    <row r="383">
      <c r="L383" s="5">
        <f>IF(D383="","",YEAR(D383)&amp;"-Q"&amp;ROUNDUP(MONTH(D383)/3,0))</f>
        <v/>
      </c>
    </row>
    <row r="384">
      <c r="L384" s="5">
        <f>IF(D384="","",YEAR(D384)&amp;"-Q"&amp;ROUNDUP(MONTH(D384)/3,0))</f>
        <v/>
      </c>
    </row>
    <row r="385">
      <c r="L385" s="5">
        <f>IF(D385="","",YEAR(D385)&amp;"-Q"&amp;ROUNDUP(MONTH(D385)/3,0))</f>
        <v/>
      </c>
    </row>
    <row r="386">
      <c r="L386" s="5">
        <f>IF(D386="","",YEAR(D386)&amp;"-Q"&amp;ROUNDUP(MONTH(D386)/3,0))</f>
        <v/>
      </c>
    </row>
    <row r="387">
      <c r="L387" s="5">
        <f>IF(D387="","",YEAR(D387)&amp;"-Q"&amp;ROUNDUP(MONTH(D387)/3,0))</f>
        <v/>
      </c>
    </row>
    <row r="388">
      <c r="L388" s="5">
        <f>IF(D388="","",YEAR(D388)&amp;"-Q"&amp;ROUNDUP(MONTH(D388)/3,0))</f>
        <v/>
      </c>
    </row>
    <row r="389">
      <c r="L389" s="5">
        <f>IF(D389="","",YEAR(D389)&amp;"-Q"&amp;ROUNDUP(MONTH(D389)/3,0))</f>
        <v/>
      </c>
    </row>
    <row r="390">
      <c r="L390" s="5">
        <f>IF(D390="","",YEAR(D390)&amp;"-Q"&amp;ROUNDUP(MONTH(D390)/3,0))</f>
        <v/>
      </c>
    </row>
    <row r="391">
      <c r="L391" s="5">
        <f>IF(D391="","",YEAR(D391)&amp;"-Q"&amp;ROUNDUP(MONTH(D391)/3,0))</f>
        <v/>
      </c>
    </row>
    <row r="392">
      <c r="L392" s="5">
        <f>IF(D392="","",YEAR(D392)&amp;"-Q"&amp;ROUNDUP(MONTH(D392)/3,0))</f>
        <v/>
      </c>
    </row>
    <row r="393">
      <c r="L393" s="5">
        <f>IF(D393="","",YEAR(D393)&amp;"-Q"&amp;ROUNDUP(MONTH(D393)/3,0))</f>
        <v/>
      </c>
    </row>
    <row r="394">
      <c r="L394" s="5">
        <f>IF(D394="","",YEAR(D394)&amp;"-Q"&amp;ROUNDUP(MONTH(D394)/3,0))</f>
        <v/>
      </c>
    </row>
    <row r="395">
      <c r="L395" s="5">
        <f>IF(D395="","",YEAR(D395)&amp;"-Q"&amp;ROUNDUP(MONTH(D395)/3,0))</f>
        <v/>
      </c>
    </row>
    <row r="396">
      <c r="L396" s="5">
        <f>IF(D396="","",YEAR(D396)&amp;"-Q"&amp;ROUNDUP(MONTH(D396)/3,0))</f>
        <v/>
      </c>
    </row>
    <row r="397">
      <c r="L397" s="5">
        <f>IF(D397="","",YEAR(D397)&amp;"-Q"&amp;ROUNDUP(MONTH(D397)/3,0))</f>
        <v/>
      </c>
    </row>
    <row r="398">
      <c r="L398" s="5">
        <f>IF(D398="","",YEAR(D398)&amp;"-Q"&amp;ROUNDUP(MONTH(D398)/3,0))</f>
        <v/>
      </c>
    </row>
    <row r="399">
      <c r="L399" s="5">
        <f>IF(D399="","",YEAR(D399)&amp;"-Q"&amp;ROUNDUP(MONTH(D399)/3,0))</f>
        <v/>
      </c>
    </row>
    <row r="400">
      <c r="L400" s="5">
        <f>IF(D400="","",YEAR(D400)&amp;"-Q"&amp;ROUNDUP(MONTH(D400)/3,0))</f>
        <v/>
      </c>
    </row>
    <row r="401">
      <c r="L401" s="5">
        <f>IF(D401="","",YEAR(D401)&amp;"-Q"&amp;ROUNDUP(MONTH(D401)/3,0))</f>
        <v/>
      </c>
    </row>
    <row r="402">
      <c r="L402" s="5">
        <f>IF(D402="","",YEAR(D402)&amp;"-Q"&amp;ROUNDUP(MONTH(D402)/3,0))</f>
        <v/>
      </c>
    </row>
    <row r="403">
      <c r="L403" s="5">
        <f>IF(D403="","",YEAR(D403)&amp;"-Q"&amp;ROUNDUP(MONTH(D403)/3,0))</f>
        <v/>
      </c>
    </row>
    <row r="404">
      <c r="L404" s="5">
        <f>IF(D404="","",YEAR(D404)&amp;"-Q"&amp;ROUNDUP(MONTH(D404)/3,0))</f>
        <v/>
      </c>
    </row>
    <row r="405">
      <c r="L405" s="5">
        <f>IF(D405="","",YEAR(D405)&amp;"-Q"&amp;ROUNDUP(MONTH(D405)/3,0))</f>
        <v/>
      </c>
    </row>
    <row r="406">
      <c r="L406" s="5">
        <f>IF(D406="","",YEAR(D406)&amp;"-Q"&amp;ROUNDUP(MONTH(D406)/3,0))</f>
        <v/>
      </c>
    </row>
    <row r="407">
      <c r="L407" s="5">
        <f>IF(D407="","",YEAR(D407)&amp;"-Q"&amp;ROUNDUP(MONTH(D407)/3,0))</f>
        <v/>
      </c>
    </row>
    <row r="408">
      <c r="L408" s="5">
        <f>IF(D408="","",YEAR(D408)&amp;"-Q"&amp;ROUNDUP(MONTH(D408)/3,0))</f>
        <v/>
      </c>
    </row>
    <row r="409">
      <c r="L409" s="5">
        <f>IF(D409="","",YEAR(D409)&amp;"-Q"&amp;ROUNDUP(MONTH(D409)/3,0))</f>
        <v/>
      </c>
    </row>
    <row r="410">
      <c r="L410" s="5">
        <f>IF(D410="","",YEAR(D410)&amp;"-Q"&amp;ROUNDUP(MONTH(D410)/3,0))</f>
        <v/>
      </c>
    </row>
    <row r="411">
      <c r="L411" s="5">
        <f>IF(D411="","",YEAR(D411)&amp;"-Q"&amp;ROUNDUP(MONTH(D411)/3,0))</f>
        <v/>
      </c>
    </row>
    <row r="412">
      <c r="L412" s="5">
        <f>IF(D412="","",YEAR(D412)&amp;"-Q"&amp;ROUNDUP(MONTH(D412)/3,0))</f>
        <v/>
      </c>
    </row>
    <row r="413">
      <c r="L413" s="5">
        <f>IF(D413="","",YEAR(D413)&amp;"-Q"&amp;ROUNDUP(MONTH(D413)/3,0))</f>
        <v/>
      </c>
    </row>
    <row r="414">
      <c r="L414" s="5">
        <f>IF(D414="","",YEAR(D414)&amp;"-Q"&amp;ROUNDUP(MONTH(D414)/3,0))</f>
        <v/>
      </c>
    </row>
    <row r="415">
      <c r="L415" s="5">
        <f>IF(D415="","",YEAR(D415)&amp;"-Q"&amp;ROUNDUP(MONTH(D415)/3,0))</f>
        <v/>
      </c>
    </row>
    <row r="416">
      <c r="L416" s="5">
        <f>IF(D416="","",YEAR(D416)&amp;"-Q"&amp;ROUNDUP(MONTH(D416)/3,0))</f>
        <v/>
      </c>
    </row>
    <row r="417">
      <c r="L417" s="5">
        <f>IF(D417="","",YEAR(D417)&amp;"-Q"&amp;ROUNDUP(MONTH(D417)/3,0))</f>
        <v/>
      </c>
    </row>
    <row r="418">
      <c r="L418" s="5">
        <f>IF(D418="","",YEAR(D418)&amp;"-Q"&amp;ROUNDUP(MONTH(D418)/3,0))</f>
        <v/>
      </c>
    </row>
    <row r="419">
      <c r="L419" s="5">
        <f>IF(D419="","",YEAR(D419)&amp;"-Q"&amp;ROUNDUP(MONTH(D419)/3,0))</f>
        <v/>
      </c>
    </row>
    <row r="420">
      <c r="L420" s="5">
        <f>IF(D420="","",YEAR(D420)&amp;"-Q"&amp;ROUNDUP(MONTH(D420)/3,0))</f>
        <v/>
      </c>
    </row>
    <row r="421">
      <c r="L421" s="5">
        <f>IF(D421="","",YEAR(D421)&amp;"-Q"&amp;ROUNDUP(MONTH(D421)/3,0))</f>
        <v/>
      </c>
    </row>
    <row r="422">
      <c r="L422" s="5">
        <f>IF(D422="","",YEAR(D422)&amp;"-Q"&amp;ROUNDUP(MONTH(D422)/3,0))</f>
        <v/>
      </c>
    </row>
    <row r="423">
      <c r="L423" s="5">
        <f>IF(D423="","",YEAR(D423)&amp;"-Q"&amp;ROUNDUP(MONTH(D423)/3,0))</f>
        <v/>
      </c>
    </row>
    <row r="424">
      <c r="L424" s="5">
        <f>IF(D424="","",YEAR(D424)&amp;"-Q"&amp;ROUNDUP(MONTH(D424)/3,0))</f>
        <v/>
      </c>
    </row>
    <row r="425">
      <c r="L425" s="5">
        <f>IF(D425="","",YEAR(D425)&amp;"-Q"&amp;ROUNDUP(MONTH(D425)/3,0))</f>
        <v/>
      </c>
    </row>
    <row r="426">
      <c r="L426" s="5">
        <f>IF(D426="","",YEAR(D426)&amp;"-Q"&amp;ROUNDUP(MONTH(D426)/3,0))</f>
        <v/>
      </c>
    </row>
    <row r="427">
      <c r="L427" s="5">
        <f>IF(D427="","",YEAR(D427)&amp;"-Q"&amp;ROUNDUP(MONTH(D427)/3,0))</f>
        <v/>
      </c>
    </row>
    <row r="428">
      <c r="L428" s="5">
        <f>IF(D428="","",YEAR(D428)&amp;"-Q"&amp;ROUNDUP(MONTH(D428)/3,0))</f>
        <v/>
      </c>
    </row>
    <row r="429">
      <c r="L429" s="5">
        <f>IF(D429="","",YEAR(D429)&amp;"-Q"&amp;ROUNDUP(MONTH(D429)/3,0))</f>
        <v/>
      </c>
    </row>
    <row r="430">
      <c r="L430" s="5">
        <f>IF(D430="","",YEAR(D430)&amp;"-Q"&amp;ROUNDUP(MONTH(D430)/3,0))</f>
        <v/>
      </c>
    </row>
    <row r="431">
      <c r="L431" s="5">
        <f>IF(D431="","",YEAR(D431)&amp;"-Q"&amp;ROUNDUP(MONTH(D431)/3,0))</f>
        <v/>
      </c>
    </row>
    <row r="432">
      <c r="L432" s="5">
        <f>IF(D432="","",YEAR(D432)&amp;"-Q"&amp;ROUNDUP(MONTH(D432)/3,0))</f>
        <v/>
      </c>
    </row>
    <row r="433">
      <c r="L433" s="5">
        <f>IF(D433="","",YEAR(D433)&amp;"-Q"&amp;ROUNDUP(MONTH(D433)/3,0))</f>
        <v/>
      </c>
    </row>
    <row r="434">
      <c r="L434" s="5">
        <f>IF(D434="","",YEAR(D434)&amp;"-Q"&amp;ROUNDUP(MONTH(D434)/3,0))</f>
        <v/>
      </c>
    </row>
    <row r="435">
      <c r="L435" s="5">
        <f>IF(D435="","",YEAR(D435)&amp;"-Q"&amp;ROUNDUP(MONTH(D435)/3,0))</f>
        <v/>
      </c>
    </row>
    <row r="436">
      <c r="L436" s="5">
        <f>IF(D436="","",YEAR(D436)&amp;"-Q"&amp;ROUNDUP(MONTH(D436)/3,0))</f>
        <v/>
      </c>
    </row>
    <row r="437">
      <c r="L437" s="5">
        <f>IF(D437="","",YEAR(D437)&amp;"-Q"&amp;ROUNDUP(MONTH(D437)/3,0))</f>
        <v/>
      </c>
    </row>
    <row r="438">
      <c r="L438" s="5">
        <f>IF(D438="","",YEAR(D438)&amp;"-Q"&amp;ROUNDUP(MONTH(D438)/3,0))</f>
        <v/>
      </c>
    </row>
    <row r="439">
      <c r="L439" s="5">
        <f>IF(D439="","",YEAR(D439)&amp;"-Q"&amp;ROUNDUP(MONTH(D439)/3,0))</f>
        <v/>
      </c>
    </row>
    <row r="440">
      <c r="L440" s="5">
        <f>IF(D440="","",YEAR(D440)&amp;"-Q"&amp;ROUNDUP(MONTH(D440)/3,0))</f>
        <v/>
      </c>
    </row>
    <row r="441">
      <c r="L441" s="5">
        <f>IF(D441="","",YEAR(D441)&amp;"-Q"&amp;ROUNDUP(MONTH(D441)/3,0))</f>
        <v/>
      </c>
    </row>
    <row r="442">
      <c r="L442" s="5">
        <f>IF(D442="","",YEAR(D442)&amp;"-Q"&amp;ROUNDUP(MONTH(D442)/3,0))</f>
        <v/>
      </c>
    </row>
    <row r="443">
      <c r="L443" s="5">
        <f>IF(D443="","",YEAR(D443)&amp;"-Q"&amp;ROUNDUP(MONTH(D443)/3,0))</f>
        <v/>
      </c>
    </row>
    <row r="444">
      <c r="L444" s="5">
        <f>IF(D444="","",YEAR(D444)&amp;"-Q"&amp;ROUNDUP(MONTH(D444)/3,0))</f>
        <v/>
      </c>
    </row>
    <row r="445">
      <c r="L445" s="5">
        <f>IF(D445="","",YEAR(D445)&amp;"-Q"&amp;ROUNDUP(MONTH(D445)/3,0))</f>
        <v/>
      </c>
    </row>
    <row r="446">
      <c r="L446" s="5">
        <f>IF(D446="","",YEAR(D446)&amp;"-Q"&amp;ROUNDUP(MONTH(D446)/3,0))</f>
        <v/>
      </c>
    </row>
    <row r="447">
      <c r="L447" s="5">
        <f>IF(D447="","",YEAR(D447)&amp;"-Q"&amp;ROUNDUP(MONTH(D447)/3,0))</f>
        <v/>
      </c>
    </row>
    <row r="448">
      <c r="L448" s="5">
        <f>IF(D448="","",YEAR(D448)&amp;"-Q"&amp;ROUNDUP(MONTH(D448)/3,0))</f>
        <v/>
      </c>
    </row>
    <row r="449">
      <c r="L449" s="5">
        <f>IF(D449="","",YEAR(D449)&amp;"-Q"&amp;ROUNDUP(MONTH(D449)/3,0))</f>
        <v/>
      </c>
    </row>
    <row r="450">
      <c r="L450" s="5">
        <f>IF(D450="","",YEAR(D450)&amp;"-Q"&amp;ROUNDUP(MONTH(D450)/3,0))</f>
        <v/>
      </c>
    </row>
    <row r="451">
      <c r="L451" s="5">
        <f>IF(D451="","",YEAR(D451)&amp;"-Q"&amp;ROUNDUP(MONTH(D451)/3,0))</f>
        <v/>
      </c>
    </row>
    <row r="452">
      <c r="L452" s="5">
        <f>IF(D452="","",YEAR(D452)&amp;"-Q"&amp;ROUNDUP(MONTH(D452)/3,0))</f>
        <v/>
      </c>
    </row>
    <row r="453">
      <c r="L453" s="5">
        <f>IF(D453="","",YEAR(D453)&amp;"-Q"&amp;ROUNDUP(MONTH(D453)/3,0))</f>
        <v/>
      </c>
    </row>
    <row r="454">
      <c r="L454" s="5">
        <f>IF(D454="","",YEAR(D454)&amp;"-Q"&amp;ROUNDUP(MONTH(D454)/3,0))</f>
        <v/>
      </c>
    </row>
    <row r="455">
      <c r="L455" s="5">
        <f>IF(D455="","",YEAR(D455)&amp;"-Q"&amp;ROUNDUP(MONTH(D455)/3,0))</f>
        <v/>
      </c>
    </row>
    <row r="456">
      <c r="L456" s="5">
        <f>IF(D456="","",YEAR(D456)&amp;"-Q"&amp;ROUNDUP(MONTH(D456)/3,0))</f>
        <v/>
      </c>
    </row>
    <row r="457">
      <c r="L457" s="5">
        <f>IF(D457="","",YEAR(D457)&amp;"-Q"&amp;ROUNDUP(MONTH(D457)/3,0))</f>
        <v/>
      </c>
    </row>
    <row r="458">
      <c r="L458" s="5">
        <f>IF(D458="","",YEAR(D458)&amp;"-Q"&amp;ROUNDUP(MONTH(D458)/3,0))</f>
        <v/>
      </c>
    </row>
    <row r="459">
      <c r="L459" s="5">
        <f>IF(D459="","",YEAR(D459)&amp;"-Q"&amp;ROUNDUP(MONTH(D459)/3,0))</f>
        <v/>
      </c>
    </row>
    <row r="460">
      <c r="L460" s="5">
        <f>IF(D460="","",YEAR(D460)&amp;"-Q"&amp;ROUNDUP(MONTH(D460)/3,0))</f>
        <v/>
      </c>
    </row>
    <row r="461">
      <c r="L461" s="5">
        <f>IF(D461="","",YEAR(D461)&amp;"-Q"&amp;ROUNDUP(MONTH(D461)/3,0))</f>
        <v/>
      </c>
    </row>
    <row r="462">
      <c r="L462" s="5">
        <f>IF(D462="","",YEAR(D462)&amp;"-Q"&amp;ROUNDUP(MONTH(D462)/3,0))</f>
        <v/>
      </c>
    </row>
    <row r="463">
      <c r="L463" s="5">
        <f>IF(D463="","",YEAR(D463)&amp;"-Q"&amp;ROUNDUP(MONTH(D463)/3,0))</f>
        <v/>
      </c>
    </row>
    <row r="464">
      <c r="L464" s="5">
        <f>IF(D464="","",YEAR(D464)&amp;"-Q"&amp;ROUNDUP(MONTH(D464)/3,0))</f>
        <v/>
      </c>
    </row>
    <row r="465">
      <c r="L465" s="5">
        <f>IF(D465="","",YEAR(D465)&amp;"-Q"&amp;ROUNDUP(MONTH(D465)/3,0))</f>
        <v/>
      </c>
    </row>
    <row r="466">
      <c r="L466" s="5">
        <f>IF(D466="","",YEAR(D466)&amp;"-Q"&amp;ROUNDUP(MONTH(D466)/3,0))</f>
        <v/>
      </c>
    </row>
    <row r="467">
      <c r="L467" s="5">
        <f>IF(D467="","",YEAR(D467)&amp;"-Q"&amp;ROUNDUP(MONTH(D467)/3,0))</f>
        <v/>
      </c>
    </row>
    <row r="468">
      <c r="L468" s="5">
        <f>IF(D468="","",YEAR(D468)&amp;"-Q"&amp;ROUNDUP(MONTH(D468)/3,0))</f>
        <v/>
      </c>
    </row>
    <row r="469">
      <c r="L469" s="5">
        <f>IF(D469="","",YEAR(D469)&amp;"-Q"&amp;ROUNDUP(MONTH(D469)/3,0))</f>
        <v/>
      </c>
    </row>
    <row r="470">
      <c r="L470" s="5">
        <f>IF(D470="","",YEAR(D470)&amp;"-Q"&amp;ROUNDUP(MONTH(D470)/3,0))</f>
        <v/>
      </c>
    </row>
    <row r="471">
      <c r="L471" s="5">
        <f>IF(D471="","",YEAR(D471)&amp;"-Q"&amp;ROUNDUP(MONTH(D471)/3,0))</f>
        <v/>
      </c>
    </row>
    <row r="472">
      <c r="L472" s="5">
        <f>IF(D472="","",YEAR(D472)&amp;"-Q"&amp;ROUNDUP(MONTH(D472)/3,0))</f>
        <v/>
      </c>
    </row>
    <row r="473">
      <c r="L473" s="5">
        <f>IF(D473="","",YEAR(D473)&amp;"-Q"&amp;ROUNDUP(MONTH(D473)/3,0))</f>
        <v/>
      </c>
    </row>
    <row r="474">
      <c r="L474" s="5">
        <f>IF(D474="","",YEAR(D474)&amp;"-Q"&amp;ROUNDUP(MONTH(D474)/3,0))</f>
        <v/>
      </c>
    </row>
    <row r="475">
      <c r="L475" s="5">
        <f>IF(D475="","",YEAR(D475)&amp;"-Q"&amp;ROUNDUP(MONTH(D475)/3,0))</f>
        <v/>
      </c>
    </row>
    <row r="476">
      <c r="L476" s="5">
        <f>IF(D476="","",YEAR(D476)&amp;"-Q"&amp;ROUNDUP(MONTH(D476)/3,0))</f>
        <v/>
      </c>
    </row>
    <row r="477">
      <c r="L477" s="5">
        <f>IF(D477="","",YEAR(D477)&amp;"-Q"&amp;ROUNDUP(MONTH(D477)/3,0))</f>
        <v/>
      </c>
    </row>
    <row r="478">
      <c r="L478" s="5">
        <f>IF(D478="","",YEAR(D478)&amp;"-Q"&amp;ROUNDUP(MONTH(D478)/3,0))</f>
        <v/>
      </c>
    </row>
    <row r="479">
      <c r="L479" s="5">
        <f>IF(D479="","",YEAR(D479)&amp;"-Q"&amp;ROUNDUP(MONTH(D479)/3,0))</f>
        <v/>
      </c>
    </row>
    <row r="480">
      <c r="L480" s="5">
        <f>IF(D480="","",YEAR(D480)&amp;"-Q"&amp;ROUNDUP(MONTH(D480)/3,0))</f>
        <v/>
      </c>
    </row>
    <row r="481">
      <c r="L481" s="5">
        <f>IF(D481="","",YEAR(D481)&amp;"-Q"&amp;ROUNDUP(MONTH(D481)/3,0))</f>
        <v/>
      </c>
    </row>
    <row r="482">
      <c r="L482" s="5">
        <f>IF(D482="","",YEAR(D482)&amp;"-Q"&amp;ROUNDUP(MONTH(D482)/3,0))</f>
        <v/>
      </c>
    </row>
    <row r="483">
      <c r="L483" s="5">
        <f>IF(D483="","",YEAR(D483)&amp;"-Q"&amp;ROUNDUP(MONTH(D483)/3,0))</f>
        <v/>
      </c>
    </row>
    <row r="484">
      <c r="L484" s="5">
        <f>IF(D484="","",YEAR(D484)&amp;"-Q"&amp;ROUNDUP(MONTH(D484)/3,0))</f>
        <v/>
      </c>
    </row>
    <row r="485">
      <c r="L485" s="5">
        <f>IF(D485="","",YEAR(D485)&amp;"-Q"&amp;ROUNDUP(MONTH(D485)/3,0))</f>
        <v/>
      </c>
    </row>
    <row r="486">
      <c r="L486" s="5">
        <f>IF(D486="","",YEAR(D486)&amp;"-Q"&amp;ROUNDUP(MONTH(D486)/3,0))</f>
        <v/>
      </c>
    </row>
    <row r="487">
      <c r="L487" s="5">
        <f>IF(D487="","",YEAR(D487)&amp;"-Q"&amp;ROUNDUP(MONTH(D487)/3,0))</f>
        <v/>
      </c>
    </row>
    <row r="488">
      <c r="L488" s="5">
        <f>IF(D488="","",YEAR(D488)&amp;"-Q"&amp;ROUNDUP(MONTH(D488)/3,0))</f>
        <v/>
      </c>
    </row>
    <row r="489">
      <c r="L489" s="5">
        <f>IF(D489="","",YEAR(D489)&amp;"-Q"&amp;ROUNDUP(MONTH(D489)/3,0))</f>
        <v/>
      </c>
    </row>
    <row r="490">
      <c r="L490" s="5">
        <f>IF(D490="","",YEAR(D490)&amp;"-Q"&amp;ROUNDUP(MONTH(D490)/3,0))</f>
        <v/>
      </c>
    </row>
    <row r="491">
      <c r="L491" s="5">
        <f>IF(D491="","",YEAR(D491)&amp;"-Q"&amp;ROUNDUP(MONTH(D491)/3,0))</f>
        <v/>
      </c>
    </row>
    <row r="492">
      <c r="L492" s="5">
        <f>IF(D492="","",YEAR(D492)&amp;"-Q"&amp;ROUNDUP(MONTH(D492)/3,0))</f>
        <v/>
      </c>
    </row>
    <row r="493">
      <c r="L493" s="5">
        <f>IF(D493="","",YEAR(D493)&amp;"-Q"&amp;ROUNDUP(MONTH(D493)/3,0))</f>
        <v/>
      </c>
    </row>
    <row r="494">
      <c r="L494" s="5">
        <f>IF(D494="","",YEAR(D494)&amp;"-Q"&amp;ROUNDUP(MONTH(D494)/3,0))</f>
        <v/>
      </c>
    </row>
    <row r="495">
      <c r="L495" s="5">
        <f>IF(D495="","",YEAR(D495)&amp;"-Q"&amp;ROUNDUP(MONTH(D495)/3,0))</f>
        <v/>
      </c>
    </row>
    <row r="496">
      <c r="L496" s="5">
        <f>IF(D496="","",YEAR(D496)&amp;"-Q"&amp;ROUNDUP(MONTH(D496)/3,0))</f>
        <v/>
      </c>
    </row>
    <row r="497">
      <c r="L497" s="5">
        <f>IF(D497="","",YEAR(D497)&amp;"-Q"&amp;ROUNDUP(MONTH(D497)/3,0))</f>
        <v/>
      </c>
    </row>
    <row r="498">
      <c r="L498" s="5">
        <f>IF(D498="","",YEAR(D498)&amp;"-Q"&amp;ROUNDUP(MONTH(D498)/3,0))</f>
        <v/>
      </c>
    </row>
    <row r="499">
      <c r="L499" s="5">
        <f>IF(D499="","",YEAR(D499)&amp;"-Q"&amp;ROUNDUP(MONTH(D499)/3,0))</f>
        <v/>
      </c>
    </row>
    <row r="500">
      <c r="L500" s="5">
        <f>IF(D500="","",YEAR(D500)&amp;"-Q"&amp;ROUNDUP(MONTH(D500)/3,0))</f>
        <v/>
      </c>
    </row>
    <row r="501">
      <c r="L501" s="5">
        <f>IF(D501="","",YEAR(D501)&amp;"-Q"&amp;ROUNDUP(MONTH(D501)/3,0))</f>
        <v/>
      </c>
    </row>
    <row r="502">
      <c r="L502" s="5">
        <f>IF(D502="","",YEAR(D502)&amp;"-Q"&amp;ROUNDUP(MONTH(D502)/3,0))</f>
        <v/>
      </c>
    </row>
    <row r="503">
      <c r="L503" s="5">
        <f>IF(D503="","",YEAR(D503)&amp;"-Q"&amp;ROUNDUP(MONTH(D503)/3,0))</f>
        <v/>
      </c>
    </row>
    <row r="504">
      <c r="L504" s="5">
        <f>IF(D504="","",YEAR(D504)&amp;"-Q"&amp;ROUNDUP(MONTH(D504)/3,0))</f>
        <v/>
      </c>
    </row>
    <row r="505">
      <c r="L505" s="5">
        <f>IF(D505="","",YEAR(D505)&amp;"-Q"&amp;ROUNDUP(MONTH(D505)/3,0))</f>
        <v/>
      </c>
    </row>
    <row r="506">
      <c r="L506" s="5">
        <f>IF(D506="","",YEAR(D506)&amp;"-Q"&amp;ROUNDUP(MONTH(D506)/3,0))</f>
        <v/>
      </c>
    </row>
    <row r="507">
      <c r="L507" s="5">
        <f>IF(D507="","",YEAR(D507)&amp;"-Q"&amp;ROUNDUP(MONTH(D507)/3,0))</f>
        <v/>
      </c>
    </row>
    <row r="508">
      <c r="L508" s="5">
        <f>IF(D508="","",YEAR(D508)&amp;"-Q"&amp;ROUNDUP(MONTH(D508)/3,0))</f>
        <v/>
      </c>
    </row>
    <row r="509">
      <c r="L509" s="5">
        <f>IF(D509="","",YEAR(D509)&amp;"-Q"&amp;ROUNDUP(MONTH(D509)/3,0))</f>
        <v/>
      </c>
    </row>
    <row r="510">
      <c r="L510" s="5">
        <f>IF(D510="","",YEAR(D510)&amp;"-Q"&amp;ROUNDUP(MONTH(D510)/3,0))</f>
        <v/>
      </c>
    </row>
    <row r="511">
      <c r="L511" s="5">
        <f>IF(D511="","",YEAR(D511)&amp;"-Q"&amp;ROUNDUP(MONTH(D511)/3,0))</f>
        <v/>
      </c>
    </row>
    <row r="512">
      <c r="L512" s="5">
        <f>IF(D512="","",YEAR(D512)&amp;"-Q"&amp;ROUNDUP(MONTH(D512)/3,0))</f>
        <v/>
      </c>
    </row>
    <row r="513">
      <c r="L513" s="5">
        <f>IF(D513="","",YEAR(D513)&amp;"-Q"&amp;ROUNDUP(MONTH(D513)/3,0))</f>
        <v/>
      </c>
    </row>
    <row r="514">
      <c r="L514" s="5">
        <f>IF(D514="","",YEAR(D514)&amp;"-Q"&amp;ROUNDUP(MONTH(D514)/3,0))</f>
        <v/>
      </c>
    </row>
    <row r="515">
      <c r="L515" s="5">
        <f>IF(D515="","",YEAR(D515)&amp;"-Q"&amp;ROUNDUP(MONTH(D515)/3,0))</f>
        <v/>
      </c>
    </row>
    <row r="516">
      <c r="L516" s="5">
        <f>IF(D516="","",YEAR(D516)&amp;"-Q"&amp;ROUNDUP(MONTH(D516)/3,0))</f>
        <v/>
      </c>
    </row>
    <row r="517">
      <c r="L517" s="5">
        <f>IF(D517="","",YEAR(D517)&amp;"-Q"&amp;ROUNDUP(MONTH(D517)/3,0))</f>
        <v/>
      </c>
    </row>
    <row r="518">
      <c r="L518" s="5">
        <f>IF(D518="","",YEAR(D518)&amp;"-Q"&amp;ROUNDUP(MONTH(D518)/3,0))</f>
        <v/>
      </c>
    </row>
    <row r="519">
      <c r="L519" s="5">
        <f>IF(D519="","",YEAR(D519)&amp;"-Q"&amp;ROUNDUP(MONTH(D519)/3,0))</f>
        <v/>
      </c>
    </row>
    <row r="520">
      <c r="L520" s="5">
        <f>IF(D520="","",YEAR(D520)&amp;"-Q"&amp;ROUNDUP(MONTH(D520)/3,0))</f>
        <v/>
      </c>
    </row>
    <row r="521">
      <c r="L521" s="5">
        <f>IF(D521="","",YEAR(D521)&amp;"-Q"&amp;ROUNDUP(MONTH(D521)/3,0))</f>
        <v/>
      </c>
    </row>
    <row r="522">
      <c r="L522" s="5">
        <f>IF(D522="","",YEAR(D522)&amp;"-Q"&amp;ROUNDUP(MONTH(D522)/3,0))</f>
        <v/>
      </c>
    </row>
    <row r="523">
      <c r="L523" s="5">
        <f>IF(D523="","",YEAR(D523)&amp;"-Q"&amp;ROUNDUP(MONTH(D523)/3,0))</f>
        <v/>
      </c>
    </row>
    <row r="524">
      <c r="L524" s="5">
        <f>IF(D524="","",YEAR(D524)&amp;"-Q"&amp;ROUNDUP(MONTH(D524)/3,0))</f>
        <v/>
      </c>
    </row>
    <row r="525">
      <c r="L525" s="5">
        <f>IF(D525="","",YEAR(D525)&amp;"-Q"&amp;ROUNDUP(MONTH(D525)/3,0))</f>
        <v/>
      </c>
    </row>
    <row r="526">
      <c r="L526" s="5">
        <f>IF(D526="","",YEAR(D526)&amp;"-Q"&amp;ROUNDUP(MONTH(D526)/3,0))</f>
        <v/>
      </c>
    </row>
    <row r="527">
      <c r="L527" s="5">
        <f>IF(D527="","",YEAR(D527)&amp;"-Q"&amp;ROUNDUP(MONTH(D527)/3,0))</f>
        <v/>
      </c>
    </row>
    <row r="528">
      <c r="L528" s="5">
        <f>IF(D528="","",YEAR(D528)&amp;"-Q"&amp;ROUNDUP(MONTH(D528)/3,0))</f>
        <v/>
      </c>
    </row>
    <row r="529">
      <c r="L529" s="5">
        <f>IF(D529="","",YEAR(D529)&amp;"-Q"&amp;ROUNDUP(MONTH(D529)/3,0))</f>
        <v/>
      </c>
    </row>
    <row r="530">
      <c r="L530" s="5">
        <f>IF(D530="","",YEAR(D530)&amp;"-Q"&amp;ROUNDUP(MONTH(D530)/3,0))</f>
        <v/>
      </c>
    </row>
    <row r="531">
      <c r="L531" s="5">
        <f>IF(D531="","",YEAR(D531)&amp;"-Q"&amp;ROUNDUP(MONTH(D531)/3,0))</f>
        <v/>
      </c>
    </row>
    <row r="532">
      <c r="L532" s="5">
        <f>IF(D532="","",YEAR(D532)&amp;"-Q"&amp;ROUNDUP(MONTH(D532)/3,0))</f>
        <v/>
      </c>
    </row>
    <row r="533">
      <c r="L533" s="5">
        <f>IF(D533="","",YEAR(D533)&amp;"-Q"&amp;ROUNDUP(MONTH(D533)/3,0))</f>
        <v/>
      </c>
    </row>
    <row r="534">
      <c r="L534" s="5">
        <f>IF(D534="","",YEAR(D534)&amp;"-Q"&amp;ROUNDUP(MONTH(D534)/3,0))</f>
        <v/>
      </c>
    </row>
    <row r="535">
      <c r="L535" s="5">
        <f>IF(D535="","",YEAR(D535)&amp;"-Q"&amp;ROUNDUP(MONTH(D535)/3,0))</f>
        <v/>
      </c>
    </row>
    <row r="536">
      <c r="L536" s="5">
        <f>IF(D536="","",YEAR(D536)&amp;"-Q"&amp;ROUNDUP(MONTH(D536)/3,0))</f>
        <v/>
      </c>
    </row>
    <row r="537">
      <c r="L537" s="5">
        <f>IF(D537="","",YEAR(D537)&amp;"-Q"&amp;ROUNDUP(MONTH(D537)/3,0))</f>
        <v/>
      </c>
    </row>
    <row r="538">
      <c r="L538" s="5">
        <f>IF(D538="","",YEAR(D538)&amp;"-Q"&amp;ROUNDUP(MONTH(D538)/3,0))</f>
        <v/>
      </c>
    </row>
    <row r="539">
      <c r="L539" s="5">
        <f>IF(D539="","",YEAR(D539)&amp;"-Q"&amp;ROUNDUP(MONTH(D539)/3,0))</f>
        <v/>
      </c>
    </row>
    <row r="540">
      <c r="L540" s="5">
        <f>IF(D540="","",YEAR(D540)&amp;"-Q"&amp;ROUNDUP(MONTH(D540)/3,0))</f>
        <v/>
      </c>
    </row>
    <row r="541">
      <c r="L541" s="5">
        <f>IF(D541="","",YEAR(D541)&amp;"-Q"&amp;ROUNDUP(MONTH(D541)/3,0))</f>
        <v/>
      </c>
    </row>
    <row r="542">
      <c r="L542" s="5">
        <f>IF(D542="","",YEAR(D542)&amp;"-Q"&amp;ROUNDUP(MONTH(D542)/3,0))</f>
        <v/>
      </c>
    </row>
    <row r="543">
      <c r="L543" s="5">
        <f>IF(D543="","",YEAR(D543)&amp;"-Q"&amp;ROUNDUP(MONTH(D543)/3,0))</f>
        <v/>
      </c>
    </row>
    <row r="544">
      <c r="L544" s="5">
        <f>IF(D544="","",YEAR(D544)&amp;"-Q"&amp;ROUNDUP(MONTH(D544)/3,0))</f>
        <v/>
      </c>
    </row>
    <row r="545">
      <c r="L545" s="5">
        <f>IF(D545="","",YEAR(D545)&amp;"-Q"&amp;ROUNDUP(MONTH(D545)/3,0))</f>
        <v/>
      </c>
    </row>
    <row r="546">
      <c r="L546" s="5">
        <f>IF(D546="","",YEAR(D546)&amp;"-Q"&amp;ROUNDUP(MONTH(D546)/3,0))</f>
        <v/>
      </c>
    </row>
    <row r="547">
      <c r="L547" s="5">
        <f>IF(D547="","",YEAR(D547)&amp;"-Q"&amp;ROUNDUP(MONTH(D547)/3,0))</f>
        <v/>
      </c>
    </row>
    <row r="548">
      <c r="L548" s="5">
        <f>IF(D548="","",YEAR(D548)&amp;"-Q"&amp;ROUNDUP(MONTH(D548)/3,0))</f>
        <v/>
      </c>
    </row>
    <row r="549">
      <c r="L549" s="5">
        <f>IF(D549="","",YEAR(D549)&amp;"-Q"&amp;ROUNDUP(MONTH(D549)/3,0))</f>
        <v/>
      </c>
    </row>
    <row r="550">
      <c r="L550" s="5">
        <f>IF(D550="","",YEAR(D550)&amp;"-Q"&amp;ROUNDUP(MONTH(D550)/3,0))</f>
        <v/>
      </c>
    </row>
    <row r="551">
      <c r="L551" s="5">
        <f>IF(D551="","",YEAR(D551)&amp;"-Q"&amp;ROUNDUP(MONTH(D551)/3,0))</f>
        <v/>
      </c>
    </row>
    <row r="552">
      <c r="L552" s="5">
        <f>IF(D552="","",YEAR(D552)&amp;"-Q"&amp;ROUNDUP(MONTH(D552)/3,0))</f>
        <v/>
      </c>
    </row>
    <row r="553">
      <c r="L553" s="5">
        <f>IF(D553="","",YEAR(D553)&amp;"-Q"&amp;ROUNDUP(MONTH(D553)/3,0))</f>
        <v/>
      </c>
    </row>
    <row r="554">
      <c r="L554" s="5">
        <f>IF(D554="","",YEAR(D554)&amp;"-Q"&amp;ROUNDUP(MONTH(D554)/3,0))</f>
        <v/>
      </c>
    </row>
    <row r="555">
      <c r="L555" s="5">
        <f>IF(D555="","",YEAR(D555)&amp;"-Q"&amp;ROUNDUP(MONTH(D555)/3,0))</f>
        <v/>
      </c>
    </row>
    <row r="556">
      <c r="L556" s="5">
        <f>IF(D556="","",YEAR(D556)&amp;"-Q"&amp;ROUNDUP(MONTH(D556)/3,0))</f>
        <v/>
      </c>
    </row>
    <row r="557">
      <c r="L557" s="5">
        <f>IF(D557="","",YEAR(D557)&amp;"-Q"&amp;ROUNDUP(MONTH(D557)/3,0))</f>
        <v/>
      </c>
    </row>
    <row r="558">
      <c r="L558" s="5">
        <f>IF(D558="","",YEAR(D558)&amp;"-Q"&amp;ROUNDUP(MONTH(D558)/3,0))</f>
        <v/>
      </c>
    </row>
    <row r="559">
      <c r="L559" s="5">
        <f>IF(D559="","",YEAR(D559)&amp;"-Q"&amp;ROUNDUP(MONTH(D559)/3,0))</f>
        <v/>
      </c>
    </row>
    <row r="560">
      <c r="L560" s="5">
        <f>IF(D560="","",YEAR(D560)&amp;"-Q"&amp;ROUNDUP(MONTH(D560)/3,0))</f>
        <v/>
      </c>
    </row>
    <row r="561">
      <c r="L561" s="5">
        <f>IF(D561="","",YEAR(D561)&amp;"-Q"&amp;ROUNDUP(MONTH(D561)/3,0))</f>
        <v/>
      </c>
    </row>
    <row r="562">
      <c r="L562" s="5">
        <f>IF(D562="","",YEAR(D562)&amp;"-Q"&amp;ROUNDUP(MONTH(D562)/3,0))</f>
        <v/>
      </c>
    </row>
    <row r="563">
      <c r="L563" s="5">
        <f>IF(D563="","",YEAR(D563)&amp;"-Q"&amp;ROUNDUP(MONTH(D563)/3,0))</f>
        <v/>
      </c>
    </row>
    <row r="564">
      <c r="L564" s="5">
        <f>IF(D564="","",YEAR(D564)&amp;"-Q"&amp;ROUNDUP(MONTH(D564)/3,0))</f>
        <v/>
      </c>
    </row>
    <row r="565">
      <c r="L565" s="5">
        <f>IF(D565="","",YEAR(D565)&amp;"-Q"&amp;ROUNDUP(MONTH(D565)/3,0))</f>
        <v/>
      </c>
    </row>
    <row r="566">
      <c r="L566" s="5">
        <f>IF(D566="","",YEAR(D566)&amp;"-Q"&amp;ROUNDUP(MONTH(D566)/3,0))</f>
        <v/>
      </c>
    </row>
    <row r="567">
      <c r="L567" s="5">
        <f>IF(D567="","",YEAR(D567)&amp;"-Q"&amp;ROUNDUP(MONTH(D567)/3,0))</f>
        <v/>
      </c>
    </row>
    <row r="568">
      <c r="L568" s="5">
        <f>IF(D568="","",YEAR(D568)&amp;"-Q"&amp;ROUNDUP(MONTH(D568)/3,0))</f>
        <v/>
      </c>
    </row>
    <row r="569">
      <c r="L569" s="5">
        <f>IF(D569="","",YEAR(D569)&amp;"-Q"&amp;ROUNDUP(MONTH(D569)/3,0))</f>
        <v/>
      </c>
    </row>
    <row r="570">
      <c r="L570" s="5">
        <f>IF(D570="","",YEAR(D570)&amp;"-Q"&amp;ROUNDUP(MONTH(D570)/3,0))</f>
        <v/>
      </c>
    </row>
    <row r="571">
      <c r="L571" s="5">
        <f>IF(D571="","",YEAR(D571)&amp;"-Q"&amp;ROUNDUP(MONTH(D571)/3,0))</f>
        <v/>
      </c>
    </row>
    <row r="572">
      <c r="L572" s="5">
        <f>IF(D572="","",YEAR(D572)&amp;"-Q"&amp;ROUNDUP(MONTH(D572)/3,0))</f>
        <v/>
      </c>
    </row>
    <row r="573">
      <c r="L573" s="5">
        <f>IF(D573="","",YEAR(D573)&amp;"-Q"&amp;ROUNDUP(MONTH(D573)/3,0))</f>
        <v/>
      </c>
    </row>
    <row r="574">
      <c r="L574" s="5">
        <f>IF(D574="","",YEAR(D574)&amp;"-Q"&amp;ROUNDUP(MONTH(D574)/3,0))</f>
        <v/>
      </c>
    </row>
    <row r="575">
      <c r="L575" s="5">
        <f>IF(D575="","",YEAR(D575)&amp;"-Q"&amp;ROUNDUP(MONTH(D575)/3,0))</f>
        <v/>
      </c>
    </row>
    <row r="576">
      <c r="L576" s="5">
        <f>IF(D576="","",YEAR(D576)&amp;"-Q"&amp;ROUNDUP(MONTH(D576)/3,0))</f>
        <v/>
      </c>
    </row>
    <row r="577">
      <c r="L577" s="5">
        <f>IF(D577="","",YEAR(D577)&amp;"-Q"&amp;ROUNDUP(MONTH(D577)/3,0))</f>
        <v/>
      </c>
    </row>
    <row r="578">
      <c r="L578" s="5">
        <f>IF(D578="","",YEAR(D578)&amp;"-Q"&amp;ROUNDUP(MONTH(D578)/3,0))</f>
        <v/>
      </c>
    </row>
    <row r="579">
      <c r="L579" s="5">
        <f>IF(D579="","",YEAR(D579)&amp;"-Q"&amp;ROUNDUP(MONTH(D579)/3,0))</f>
        <v/>
      </c>
    </row>
    <row r="580">
      <c r="L580" s="5">
        <f>IF(D580="","",YEAR(D580)&amp;"-Q"&amp;ROUNDUP(MONTH(D580)/3,0))</f>
        <v/>
      </c>
    </row>
    <row r="581">
      <c r="L581" s="5">
        <f>IF(D581="","",YEAR(D581)&amp;"-Q"&amp;ROUNDUP(MONTH(D581)/3,0))</f>
        <v/>
      </c>
    </row>
    <row r="582">
      <c r="L582" s="5">
        <f>IF(D582="","",YEAR(D582)&amp;"-Q"&amp;ROUNDUP(MONTH(D582)/3,0))</f>
        <v/>
      </c>
    </row>
    <row r="583">
      <c r="L583" s="5">
        <f>IF(D583="","",YEAR(D583)&amp;"-Q"&amp;ROUNDUP(MONTH(D583)/3,0))</f>
        <v/>
      </c>
    </row>
    <row r="584">
      <c r="L584" s="5">
        <f>IF(D584="","",YEAR(D584)&amp;"-Q"&amp;ROUNDUP(MONTH(D584)/3,0))</f>
        <v/>
      </c>
    </row>
    <row r="585">
      <c r="L585" s="5">
        <f>IF(D585="","",YEAR(D585)&amp;"-Q"&amp;ROUNDUP(MONTH(D585)/3,0))</f>
        <v/>
      </c>
    </row>
    <row r="586">
      <c r="L586" s="5">
        <f>IF(D586="","",YEAR(D586)&amp;"-Q"&amp;ROUNDUP(MONTH(D586)/3,0))</f>
        <v/>
      </c>
    </row>
    <row r="587">
      <c r="L587" s="5">
        <f>IF(D587="","",YEAR(D587)&amp;"-Q"&amp;ROUNDUP(MONTH(D587)/3,0))</f>
        <v/>
      </c>
    </row>
    <row r="588">
      <c r="L588" s="5">
        <f>IF(D588="","",YEAR(D588)&amp;"-Q"&amp;ROUNDUP(MONTH(D588)/3,0))</f>
        <v/>
      </c>
    </row>
    <row r="589">
      <c r="L589" s="5">
        <f>IF(D589="","",YEAR(D589)&amp;"-Q"&amp;ROUNDUP(MONTH(D589)/3,0))</f>
        <v/>
      </c>
    </row>
    <row r="590">
      <c r="L590" s="5">
        <f>IF(D590="","",YEAR(D590)&amp;"-Q"&amp;ROUNDUP(MONTH(D590)/3,0))</f>
        <v/>
      </c>
    </row>
    <row r="591">
      <c r="L591" s="5">
        <f>IF(D591="","",YEAR(D591)&amp;"-Q"&amp;ROUNDUP(MONTH(D591)/3,0))</f>
        <v/>
      </c>
    </row>
    <row r="592">
      <c r="L592" s="5">
        <f>IF(D592="","",YEAR(D592)&amp;"-Q"&amp;ROUNDUP(MONTH(D592)/3,0))</f>
        <v/>
      </c>
    </row>
    <row r="593">
      <c r="L593" s="5">
        <f>IF(D593="","",YEAR(D593)&amp;"-Q"&amp;ROUNDUP(MONTH(D593)/3,0))</f>
        <v/>
      </c>
    </row>
    <row r="594">
      <c r="L594" s="5">
        <f>IF(D594="","",YEAR(D594)&amp;"-Q"&amp;ROUNDUP(MONTH(D594)/3,0))</f>
        <v/>
      </c>
    </row>
    <row r="595">
      <c r="L595" s="5">
        <f>IF(D595="","",YEAR(D595)&amp;"-Q"&amp;ROUNDUP(MONTH(D595)/3,0))</f>
        <v/>
      </c>
    </row>
    <row r="596">
      <c r="L596" s="5">
        <f>IF(D596="","",YEAR(D596)&amp;"-Q"&amp;ROUNDUP(MONTH(D596)/3,0))</f>
        <v/>
      </c>
    </row>
    <row r="597">
      <c r="L597" s="5">
        <f>IF(D597="","",YEAR(D597)&amp;"-Q"&amp;ROUNDUP(MONTH(D597)/3,0))</f>
        <v/>
      </c>
    </row>
    <row r="598">
      <c r="L598" s="5">
        <f>IF(D598="","",YEAR(D598)&amp;"-Q"&amp;ROUNDUP(MONTH(D598)/3,0))</f>
        <v/>
      </c>
    </row>
    <row r="599">
      <c r="L599" s="5">
        <f>IF(D599="","",YEAR(D599)&amp;"-Q"&amp;ROUNDUP(MONTH(D599)/3,0))</f>
        <v/>
      </c>
    </row>
    <row r="600">
      <c r="L600" s="5">
        <f>IF(D600="","",YEAR(D600)&amp;"-Q"&amp;ROUNDUP(MONTH(D600)/3,0))</f>
        <v/>
      </c>
    </row>
    <row r="601">
      <c r="L601" s="5">
        <f>IF(D601="","",YEAR(D601)&amp;"-Q"&amp;ROUNDUP(MONTH(D601)/3,0))</f>
        <v/>
      </c>
    </row>
    <row r="602">
      <c r="L602" s="5">
        <f>IF(D602="","",YEAR(D602)&amp;"-Q"&amp;ROUNDUP(MONTH(D602)/3,0))</f>
        <v/>
      </c>
    </row>
    <row r="603">
      <c r="L603" s="5">
        <f>IF(D603="","",YEAR(D603)&amp;"-Q"&amp;ROUNDUP(MONTH(D603)/3,0))</f>
        <v/>
      </c>
    </row>
    <row r="604">
      <c r="L604" s="5">
        <f>IF(D604="","",YEAR(D604)&amp;"-Q"&amp;ROUNDUP(MONTH(D604)/3,0))</f>
        <v/>
      </c>
    </row>
    <row r="605">
      <c r="L605" s="5">
        <f>IF(D605="","",YEAR(D605)&amp;"-Q"&amp;ROUNDUP(MONTH(D605)/3,0))</f>
        <v/>
      </c>
    </row>
    <row r="606">
      <c r="L606" s="5">
        <f>IF(D606="","",YEAR(D606)&amp;"-Q"&amp;ROUNDUP(MONTH(D606)/3,0))</f>
        <v/>
      </c>
    </row>
    <row r="607">
      <c r="L607" s="5">
        <f>IF(D607="","",YEAR(D607)&amp;"-Q"&amp;ROUNDUP(MONTH(D607)/3,0))</f>
        <v/>
      </c>
    </row>
    <row r="608">
      <c r="L608" s="5">
        <f>IF(D608="","",YEAR(D608)&amp;"-Q"&amp;ROUNDUP(MONTH(D608)/3,0))</f>
        <v/>
      </c>
    </row>
    <row r="609">
      <c r="L609" s="5">
        <f>IF(D609="","",YEAR(D609)&amp;"-Q"&amp;ROUNDUP(MONTH(D609)/3,0))</f>
        <v/>
      </c>
    </row>
    <row r="610">
      <c r="L610" s="5">
        <f>IF(D610="","",YEAR(D610)&amp;"-Q"&amp;ROUNDUP(MONTH(D610)/3,0))</f>
        <v/>
      </c>
    </row>
    <row r="611">
      <c r="L611" s="5">
        <f>IF(D611="","",YEAR(D611)&amp;"-Q"&amp;ROUNDUP(MONTH(D611)/3,0))</f>
        <v/>
      </c>
    </row>
    <row r="612">
      <c r="L612" s="5">
        <f>IF(D612="","",YEAR(D612)&amp;"-Q"&amp;ROUNDUP(MONTH(D612)/3,0))</f>
        <v/>
      </c>
    </row>
    <row r="613">
      <c r="L613" s="5">
        <f>IF(D613="","",YEAR(D613)&amp;"-Q"&amp;ROUNDUP(MONTH(D613)/3,0))</f>
        <v/>
      </c>
    </row>
    <row r="614">
      <c r="L614" s="5">
        <f>IF(D614="","",YEAR(D614)&amp;"-Q"&amp;ROUNDUP(MONTH(D614)/3,0))</f>
        <v/>
      </c>
    </row>
    <row r="615">
      <c r="L615" s="5">
        <f>IF(D615="","",YEAR(D615)&amp;"-Q"&amp;ROUNDUP(MONTH(D615)/3,0))</f>
        <v/>
      </c>
    </row>
    <row r="616">
      <c r="L616" s="5">
        <f>IF(D616="","",YEAR(D616)&amp;"-Q"&amp;ROUNDUP(MONTH(D616)/3,0))</f>
        <v/>
      </c>
    </row>
    <row r="617">
      <c r="L617" s="5">
        <f>IF(D617="","",YEAR(D617)&amp;"-Q"&amp;ROUNDUP(MONTH(D617)/3,0))</f>
        <v/>
      </c>
    </row>
    <row r="618">
      <c r="L618" s="5">
        <f>IF(D618="","",YEAR(D618)&amp;"-Q"&amp;ROUNDUP(MONTH(D618)/3,0))</f>
        <v/>
      </c>
    </row>
    <row r="619">
      <c r="L619" s="5">
        <f>IF(D619="","",YEAR(D619)&amp;"-Q"&amp;ROUNDUP(MONTH(D619)/3,0))</f>
        <v/>
      </c>
    </row>
    <row r="620">
      <c r="L620" s="5">
        <f>IF(D620="","",YEAR(D620)&amp;"-Q"&amp;ROUNDUP(MONTH(D620)/3,0))</f>
        <v/>
      </c>
    </row>
    <row r="621">
      <c r="L621" s="5">
        <f>IF(D621="","",YEAR(D621)&amp;"-Q"&amp;ROUNDUP(MONTH(D621)/3,0))</f>
        <v/>
      </c>
    </row>
    <row r="622">
      <c r="L622" s="5">
        <f>IF(D622="","",YEAR(D622)&amp;"-Q"&amp;ROUNDUP(MONTH(D622)/3,0))</f>
        <v/>
      </c>
    </row>
    <row r="623">
      <c r="L623" s="5">
        <f>IF(D623="","",YEAR(D623)&amp;"-Q"&amp;ROUNDUP(MONTH(D623)/3,0))</f>
        <v/>
      </c>
    </row>
    <row r="624">
      <c r="L624" s="5">
        <f>IF(D624="","",YEAR(D624)&amp;"-Q"&amp;ROUNDUP(MONTH(D624)/3,0))</f>
        <v/>
      </c>
    </row>
    <row r="625">
      <c r="L625" s="5">
        <f>IF(D625="","",YEAR(D625)&amp;"-Q"&amp;ROUNDUP(MONTH(D625)/3,0))</f>
        <v/>
      </c>
    </row>
    <row r="626">
      <c r="L626" s="5">
        <f>IF(D626="","",YEAR(D626)&amp;"-Q"&amp;ROUNDUP(MONTH(D626)/3,0))</f>
        <v/>
      </c>
    </row>
    <row r="627">
      <c r="L627" s="5">
        <f>IF(D627="","",YEAR(D627)&amp;"-Q"&amp;ROUNDUP(MONTH(D627)/3,0))</f>
        <v/>
      </c>
    </row>
    <row r="628">
      <c r="L628" s="5">
        <f>IF(D628="","",YEAR(D628)&amp;"-Q"&amp;ROUNDUP(MONTH(D628)/3,0))</f>
        <v/>
      </c>
    </row>
    <row r="629">
      <c r="L629" s="5">
        <f>IF(D629="","",YEAR(D629)&amp;"-Q"&amp;ROUNDUP(MONTH(D629)/3,0))</f>
        <v/>
      </c>
    </row>
    <row r="630">
      <c r="L630" s="5">
        <f>IF(D630="","",YEAR(D630)&amp;"-Q"&amp;ROUNDUP(MONTH(D630)/3,0))</f>
        <v/>
      </c>
    </row>
    <row r="631">
      <c r="L631" s="5">
        <f>IF(D631="","",YEAR(D631)&amp;"-Q"&amp;ROUNDUP(MONTH(D631)/3,0))</f>
        <v/>
      </c>
    </row>
    <row r="632">
      <c r="L632" s="5">
        <f>IF(D632="","",YEAR(D632)&amp;"-Q"&amp;ROUNDUP(MONTH(D632)/3,0))</f>
        <v/>
      </c>
    </row>
    <row r="633">
      <c r="L633" s="5">
        <f>IF(D633="","",YEAR(D633)&amp;"-Q"&amp;ROUNDUP(MONTH(D633)/3,0))</f>
        <v/>
      </c>
    </row>
    <row r="634">
      <c r="L634" s="5">
        <f>IF(D634="","",YEAR(D634)&amp;"-Q"&amp;ROUNDUP(MONTH(D634)/3,0))</f>
        <v/>
      </c>
    </row>
    <row r="635">
      <c r="L635" s="5">
        <f>IF(D635="","",YEAR(D635)&amp;"-Q"&amp;ROUNDUP(MONTH(D635)/3,0))</f>
        <v/>
      </c>
    </row>
    <row r="636">
      <c r="L636" s="5">
        <f>IF(D636="","",YEAR(D636)&amp;"-Q"&amp;ROUNDUP(MONTH(D636)/3,0))</f>
        <v/>
      </c>
    </row>
    <row r="637">
      <c r="L637" s="5">
        <f>IF(D637="","",YEAR(D637)&amp;"-Q"&amp;ROUNDUP(MONTH(D637)/3,0))</f>
        <v/>
      </c>
    </row>
    <row r="638">
      <c r="L638" s="5">
        <f>IF(D638="","",YEAR(D638)&amp;"-Q"&amp;ROUNDUP(MONTH(D638)/3,0))</f>
        <v/>
      </c>
    </row>
    <row r="639">
      <c r="L639" s="5">
        <f>IF(D639="","",YEAR(D639)&amp;"-Q"&amp;ROUNDUP(MONTH(D639)/3,0))</f>
        <v/>
      </c>
    </row>
    <row r="640">
      <c r="L640" s="5">
        <f>IF(D640="","",YEAR(D640)&amp;"-Q"&amp;ROUNDUP(MONTH(D640)/3,0))</f>
        <v/>
      </c>
    </row>
    <row r="641">
      <c r="L641" s="5">
        <f>IF(D641="","",YEAR(D641)&amp;"-Q"&amp;ROUNDUP(MONTH(D641)/3,0))</f>
        <v/>
      </c>
    </row>
    <row r="642">
      <c r="L642" s="5">
        <f>IF(D642="","",YEAR(D642)&amp;"-Q"&amp;ROUNDUP(MONTH(D642)/3,0))</f>
        <v/>
      </c>
    </row>
    <row r="643">
      <c r="L643" s="5">
        <f>IF(D643="","",YEAR(D643)&amp;"-Q"&amp;ROUNDUP(MONTH(D643)/3,0))</f>
        <v/>
      </c>
    </row>
    <row r="644">
      <c r="L644" s="5">
        <f>IF(D644="","",YEAR(D644)&amp;"-Q"&amp;ROUNDUP(MONTH(D644)/3,0))</f>
        <v/>
      </c>
    </row>
    <row r="645">
      <c r="L645" s="5">
        <f>IF(D645="","",YEAR(D645)&amp;"-Q"&amp;ROUNDUP(MONTH(D645)/3,0))</f>
        <v/>
      </c>
    </row>
    <row r="646">
      <c r="L646" s="5">
        <f>IF(D646="","",YEAR(D646)&amp;"-Q"&amp;ROUNDUP(MONTH(D646)/3,0))</f>
        <v/>
      </c>
    </row>
    <row r="647">
      <c r="L647" s="5">
        <f>IF(D647="","",YEAR(D647)&amp;"-Q"&amp;ROUNDUP(MONTH(D647)/3,0))</f>
        <v/>
      </c>
    </row>
    <row r="648">
      <c r="L648" s="5">
        <f>IF(D648="","",YEAR(D648)&amp;"-Q"&amp;ROUNDUP(MONTH(D648)/3,0))</f>
        <v/>
      </c>
    </row>
    <row r="649">
      <c r="L649" s="5">
        <f>IF(D649="","",YEAR(D649)&amp;"-Q"&amp;ROUNDUP(MONTH(D649)/3,0))</f>
        <v/>
      </c>
    </row>
    <row r="650">
      <c r="L650" s="5">
        <f>IF(D650="","",YEAR(D650)&amp;"-Q"&amp;ROUNDUP(MONTH(D650)/3,0))</f>
        <v/>
      </c>
    </row>
    <row r="651">
      <c r="L651" s="5">
        <f>IF(D651="","",YEAR(D651)&amp;"-Q"&amp;ROUNDUP(MONTH(D651)/3,0))</f>
        <v/>
      </c>
    </row>
    <row r="652">
      <c r="L652" s="5">
        <f>IF(D652="","",YEAR(D652)&amp;"-Q"&amp;ROUNDUP(MONTH(D652)/3,0))</f>
        <v/>
      </c>
    </row>
    <row r="653">
      <c r="L653" s="5">
        <f>IF(D653="","",YEAR(D653)&amp;"-Q"&amp;ROUNDUP(MONTH(D653)/3,0))</f>
        <v/>
      </c>
    </row>
    <row r="654">
      <c r="L654" s="5">
        <f>IF(D654="","",YEAR(D654)&amp;"-Q"&amp;ROUNDUP(MONTH(D654)/3,0))</f>
        <v/>
      </c>
    </row>
    <row r="655">
      <c r="L655" s="5">
        <f>IF(D655="","",YEAR(D655)&amp;"-Q"&amp;ROUNDUP(MONTH(D655)/3,0))</f>
        <v/>
      </c>
    </row>
    <row r="656">
      <c r="L656" s="5">
        <f>IF(D656="","",YEAR(D656)&amp;"-Q"&amp;ROUNDUP(MONTH(D656)/3,0))</f>
        <v/>
      </c>
    </row>
    <row r="657">
      <c r="L657" s="5">
        <f>IF(D657="","",YEAR(D657)&amp;"-Q"&amp;ROUNDUP(MONTH(D657)/3,0))</f>
        <v/>
      </c>
    </row>
    <row r="658">
      <c r="L658" s="5">
        <f>IF(D658="","",YEAR(D658)&amp;"-Q"&amp;ROUNDUP(MONTH(D658)/3,0))</f>
        <v/>
      </c>
    </row>
    <row r="659">
      <c r="L659" s="5">
        <f>IF(D659="","",YEAR(D659)&amp;"-Q"&amp;ROUNDUP(MONTH(D659)/3,0))</f>
        <v/>
      </c>
    </row>
    <row r="660">
      <c r="L660" s="5">
        <f>IF(D660="","",YEAR(D660)&amp;"-Q"&amp;ROUNDUP(MONTH(D660)/3,0))</f>
        <v/>
      </c>
    </row>
    <row r="661">
      <c r="L661" s="5">
        <f>IF(D661="","",YEAR(D661)&amp;"-Q"&amp;ROUNDUP(MONTH(D661)/3,0))</f>
        <v/>
      </c>
    </row>
    <row r="662">
      <c r="L662" s="5">
        <f>IF(D662="","",YEAR(D662)&amp;"-Q"&amp;ROUNDUP(MONTH(D662)/3,0))</f>
        <v/>
      </c>
    </row>
    <row r="663">
      <c r="L663" s="5">
        <f>IF(D663="","",YEAR(D663)&amp;"-Q"&amp;ROUNDUP(MONTH(D663)/3,0))</f>
        <v/>
      </c>
    </row>
    <row r="664">
      <c r="L664" s="5">
        <f>IF(D664="","",YEAR(D664)&amp;"-Q"&amp;ROUNDUP(MONTH(D664)/3,0))</f>
        <v/>
      </c>
    </row>
    <row r="665">
      <c r="L665" s="5">
        <f>IF(D665="","",YEAR(D665)&amp;"-Q"&amp;ROUNDUP(MONTH(D665)/3,0))</f>
        <v/>
      </c>
    </row>
    <row r="666">
      <c r="L666" s="5">
        <f>IF(D666="","",YEAR(D666)&amp;"-Q"&amp;ROUNDUP(MONTH(D666)/3,0))</f>
        <v/>
      </c>
    </row>
    <row r="667">
      <c r="L667" s="5">
        <f>IF(D667="","",YEAR(D667)&amp;"-Q"&amp;ROUNDUP(MONTH(D667)/3,0))</f>
        <v/>
      </c>
    </row>
    <row r="668">
      <c r="L668" s="5">
        <f>IF(D668="","",YEAR(D668)&amp;"-Q"&amp;ROUNDUP(MONTH(D668)/3,0))</f>
        <v/>
      </c>
    </row>
    <row r="669">
      <c r="L669" s="5">
        <f>IF(D669="","",YEAR(D669)&amp;"-Q"&amp;ROUNDUP(MONTH(D669)/3,0))</f>
        <v/>
      </c>
    </row>
    <row r="670">
      <c r="L670" s="5">
        <f>IF(D670="","",YEAR(D670)&amp;"-Q"&amp;ROUNDUP(MONTH(D670)/3,0))</f>
        <v/>
      </c>
    </row>
    <row r="671">
      <c r="L671" s="5">
        <f>IF(D671="","",YEAR(D671)&amp;"-Q"&amp;ROUNDUP(MONTH(D671)/3,0))</f>
        <v/>
      </c>
    </row>
    <row r="672">
      <c r="L672" s="5">
        <f>IF(D672="","",YEAR(D672)&amp;"-Q"&amp;ROUNDUP(MONTH(D672)/3,0))</f>
        <v/>
      </c>
    </row>
    <row r="673">
      <c r="L673" s="5">
        <f>IF(D673="","",YEAR(D673)&amp;"-Q"&amp;ROUNDUP(MONTH(D673)/3,0))</f>
        <v/>
      </c>
    </row>
    <row r="674">
      <c r="L674" s="5">
        <f>IF(D674="","",YEAR(D674)&amp;"-Q"&amp;ROUNDUP(MONTH(D674)/3,0))</f>
        <v/>
      </c>
    </row>
    <row r="675">
      <c r="L675" s="5">
        <f>IF(D675="","",YEAR(D675)&amp;"-Q"&amp;ROUNDUP(MONTH(D675)/3,0))</f>
        <v/>
      </c>
    </row>
    <row r="676">
      <c r="L676" s="5">
        <f>IF(D676="","",YEAR(D676)&amp;"-Q"&amp;ROUNDUP(MONTH(D676)/3,0))</f>
        <v/>
      </c>
    </row>
    <row r="677">
      <c r="L677" s="5">
        <f>IF(D677="","",YEAR(D677)&amp;"-Q"&amp;ROUNDUP(MONTH(D677)/3,0))</f>
        <v/>
      </c>
    </row>
    <row r="678">
      <c r="L678" s="5">
        <f>IF(D678="","",YEAR(D678)&amp;"-Q"&amp;ROUNDUP(MONTH(D678)/3,0))</f>
        <v/>
      </c>
    </row>
    <row r="679">
      <c r="L679" s="5">
        <f>IF(D679="","",YEAR(D679)&amp;"-Q"&amp;ROUNDUP(MONTH(D679)/3,0))</f>
        <v/>
      </c>
    </row>
    <row r="680">
      <c r="L680" s="5">
        <f>IF(D680="","",YEAR(D680)&amp;"-Q"&amp;ROUNDUP(MONTH(D680)/3,0))</f>
        <v/>
      </c>
    </row>
    <row r="681">
      <c r="L681" s="5">
        <f>IF(D681="","",YEAR(D681)&amp;"-Q"&amp;ROUNDUP(MONTH(D681)/3,0))</f>
        <v/>
      </c>
    </row>
    <row r="682">
      <c r="L682" s="5">
        <f>IF(D682="","",YEAR(D682)&amp;"-Q"&amp;ROUNDUP(MONTH(D682)/3,0))</f>
        <v/>
      </c>
    </row>
    <row r="683">
      <c r="L683" s="5">
        <f>IF(D683="","",YEAR(D683)&amp;"-Q"&amp;ROUNDUP(MONTH(D683)/3,0))</f>
        <v/>
      </c>
    </row>
    <row r="684">
      <c r="L684" s="5">
        <f>IF(D684="","",YEAR(D684)&amp;"-Q"&amp;ROUNDUP(MONTH(D684)/3,0))</f>
        <v/>
      </c>
    </row>
    <row r="685">
      <c r="L685" s="5">
        <f>IF(D685="","",YEAR(D685)&amp;"-Q"&amp;ROUNDUP(MONTH(D685)/3,0))</f>
        <v/>
      </c>
    </row>
    <row r="686">
      <c r="L686" s="5">
        <f>IF(D686="","",YEAR(D686)&amp;"-Q"&amp;ROUNDUP(MONTH(D686)/3,0))</f>
        <v/>
      </c>
    </row>
    <row r="687">
      <c r="L687" s="5">
        <f>IF(D687="","",YEAR(D687)&amp;"-Q"&amp;ROUNDUP(MONTH(D687)/3,0))</f>
        <v/>
      </c>
    </row>
    <row r="688">
      <c r="L688" s="5">
        <f>IF(D688="","",YEAR(D688)&amp;"-Q"&amp;ROUNDUP(MONTH(D688)/3,0))</f>
        <v/>
      </c>
    </row>
    <row r="689">
      <c r="L689" s="5">
        <f>IF(D689="","",YEAR(D689)&amp;"-Q"&amp;ROUNDUP(MONTH(D689)/3,0))</f>
        <v/>
      </c>
    </row>
    <row r="690">
      <c r="L690" s="5">
        <f>IF(D690="","",YEAR(D690)&amp;"-Q"&amp;ROUNDUP(MONTH(D690)/3,0))</f>
        <v/>
      </c>
    </row>
    <row r="691">
      <c r="L691" s="5">
        <f>IF(D691="","",YEAR(D691)&amp;"-Q"&amp;ROUNDUP(MONTH(D691)/3,0))</f>
        <v/>
      </c>
    </row>
    <row r="692">
      <c r="L692" s="5">
        <f>IF(D692="","",YEAR(D692)&amp;"-Q"&amp;ROUNDUP(MONTH(D692)/3,0))</f>
        <v/>
      </c>
    </row>
    <row r="693">
      <c r="L693" s="5">
        <f>IF(D693="","",YEAR(D693)&amp;"-Q"&amp;ROUNDUP(MONTH(D693)/3,0))</f>
        <v/>
      </c>
    </row>
    <row r="694">
      <c r="L694" s="5">
        <f>IF(D694="","",YEAR(D694)&amp;"-Q"&amp;ROUNDUP(MONTH(D694)/3,0))</f>
        <v/>
      </c>
    </row>
    <row r="695">
      <c r="L695" s="5">
        <f>IF(D695="","",YEAR(D695)&amp;"-Q"&amp;ROUNDUP(MONTH(D695)/3,0))</f>
        <v/>
      </c>
    </row>
    <row r="696">
      <c r="L696" s="5">
        <f>IF(D696="","",YEAR(D696)&amp;"-Q"&amp;ROUNDUP(MONTH(D696)/3,0))</f>
        <v/>
      </c>
    </row>
    <row r="697">
      <c r="L697" s="5">
        <f>IF(D697="","",YEAR(D697)&amp;"-Q"&amp;ROUNDUP(MONTH(D697)/3,0))</f>
        <v/>
      </c>
    </row>
    <row r="698">
      <c r="L698" s="5">
        <f>IF(D698="","",YEAR(D698)&amp;"-Q"&amp;ROUNDUP(MONTH(D698)/3,0))</f>
        <v/>
      </c>
    </row>
    <row r="699">
      <c r="L699" s="5">
        <f>IF(D699="","",YEAR(D699)&amp;"-Q"&amp;ROUNDUP(MONTH(D699)/3,0))</f>
        <v/>
      </c>
    </row>
    <row r="700">
      <c r="L700" s="5">
        <f>IF(D700="","",YEAR(D700)&amp;"-Q"&amp;ROUNDUP(MONTH(D700)/3,0))</f>
        <v/>
      </c>
    </row>
    <row r="701">
      <c r="L701" s="5">
        <f>IF(D701="","",YEAR(D701)&amp;"-Q"&amp;ROUNDUP(MONTH(D701)/3,0))</f>
        <v/>
      </c>
    </row>
    <row r="702">
      <c r="L702" s="5">
        <f>IF(D702="","",YEAR(D702)&amp;"-Q"&amp;ROUNDUP(MONTH(D702)/3,0))</f>
        <v/>
      </c>
    </row>
    <row r="703">
      <c r="L703" s="5">
        <f>IF(D703="","",YEAR(D703)&amp;"-Q"&amp;ROUNDUP(MONTH(D703)/3,0))</f>
        <v/>
      </c>
    </row>
    <row r="704">
      <c r="L704" s="5">
        <f>IF(D704="","",YEAR(D704)&amp;"-Q"&amp;ROUNDUP(MONTH(D704)/3,0))</f>
        <v/>
      </c>
    </row>
    <row r="705">
      <c r="L705" s="5">
        <f>IF(D705="","",YEAR(D705)&amp;"-Q"&amp;ROUNDUP(MONTH(D705)/3,0))</f>
        <v/>
      </c>
    </row>
    <row r="706">
      <c r="L706" s="5">
        <f>IF(D706="","",YEAR(D706)&amp;"-Q"&amp;ROUNDUP(MONTH(D706)/3,0))</f>
        <v/>
      </c>
    </row>
    <row r="707">
      <c r="L707" s="5">
        <f>IF(D707="","",YEAR(D707)&amp;"-Q"&amp;ROUNDUP(MONTH(D707)/3,0))</f>
        <v/>
      </c>
    </row>
    <row r="708">
      <c r="L708" s="5">
        <f>IF(D708="","",YEAR(D708)&amp;"-Q"&amp;ROUNDUP(MONTH(D708)/3,0))</f>
        <v/>
      </c>
    </row>
    <row r="709">
      <c r="L709" s="5">
        <f>IF(D709="","",YEAR(D709)&amp;"-Q"&amp;ROUNDUP(MONTH(D709)/3,0))</f>
        <v/>
      </c>
    </row>
    <row r="710">
      <c r="L710" s="5">
        <f>IF(D710="","",YEAR(D710)&amp;"-Q"&amp;ROUNDUP(MONTH(D710)/3,0))</f>
        <v/>
      </c>
    </row>
    <row r="711">
      <c r="L711" s="5">
        <f>IF(D711="","",YEAR(D711)&amp;"-Q"&amp;ROUNDUP(MONTH(D711)/3,0))</f>
        <v/>
      </c>
    </row>
    <row r="712">
      <c r="L712" s="5">
        <f>IF(D712="","",YEAR(D712)&amp;"-Q"&amp;ROUNDUP(MONTH(D712)/3,0))</f>
        <v/>
      </c>
    </row>
    <row r="713">
      <c r="L713" s="5">
        <f>IF(D713="","",YEAR(D713)&amp;"-Q"&amp;ROUNDUP(MONTH(D713)/3,0))</f>
        <v/>
      </c>
    </row>
    <row r="714">
      <c r="L714" s="5">
        <f>IF(D714="","",YEAR(D714)&amp;"-Q"&amp;ROUNDUP(MONTH(D714)/3,0))</f>
        <v/>
      </c>
    </row>
    <row r="715">
      <c r="L715" s="5">
        <f>IF(D715="","",YEAR(D715)&amp;"-Q"&amp;ROUNDUP(MONTH(D715)/3,0))</f>
        <v/>
      </c>
    </row>
    <row r="716">
      <c r="L716" s="5">
        <f>IF(D716="","",YEAR(D716)&amp;"-Q"&amp;ROUNDUP(MONTH(D716)/3,0))</f>
        <v/>
      </c>
    </row>
    <row r="717">
      <c r="L717" s="5">
        <f>IF(D717="","",YEAR(D717)&amp;"-Q"&amp;ROUNDUP(MONTH(D717)/3,0))</f>
        <v/>
      </c>
    </row>
    <row r="718">
      <c r="L718" s="5">
        <f>IF(D718="","",YEAR(D718)&amp;"-Q"&amp;ROUNDUP(MONTH(D718)/3,0))</f>
        <v/>
      </c>
    </row>
    <row r="719">
      <c r="L719" s="5">
        <f>IF(D719="","",YEAR(D719)&amp;"-Q"&amp;ROUNDUP(MONTH(D719)/3,0))</f>
        <v/>
      </c>
    </row>
    <row r="720">
      <c r="L720" s="5">
        <f>IF(D720="","",YEAR(D720)&amp;"-Q"&amp;ROUNDUP(MONTH(D720)/3,0))</f>
        <v/>
      </c>
    </row>
    <row r="721">
      <c r="L721" s="5">
        <f>IF(D721="","",YEAR(D721)&amp;"-Q"&amp;ROUNDUP(MONTH(D721)/3,0))</f>
        <v/>
      </c>
    </row>
    <row r="722">
      <c r="L722" s="5">
        <f>IF(D722="","",YEAR(D722)&amp;"-Q"&amp;ROUNDUP(MONTH(D722)/3,0))</f>
        <v/>
      </c>
    </row>
    <row r="723">
      <c r="L723" s="5">
        <f>IF(D723="","",YEAR(D723)&amp;"-Q"&amp;ROUNDUP(MONTH(D723)/3,0))</f>
        <v/>
      </c>
    </row>
    <row r="724">
      <c r="L724" s="5">
        <f>IF(D724="","",YEAR(D724)&amp;"-Q"&amp;ROUNDUP(MONTH(D724)/3,0))</f>
        <v/>
      </c>
    </row>
    <row r="725">
      <c r="L725" s="5">
        <f>IF(D725="","",YEAR(D725)&amp;"-Q"&amp;ROUNDUP(MONTH(D725)/3,0))</f>
        <v/>
      </c>
    </row>
    <row r="726">
      <c r="L726" s="5">
        <f>IF(D726="","",YEAR(D726)&amp;"-Q"&amp;ROUNDUP(MONTH(D726)/3,0))</f>
        <v/>
      </c>
    </row>
    <row r="727">
      <c r="L727" s="5">
        <f>IF(D727="","",YEAR(D727)&amp;"-Q"&amp;ROUNDUP(MONTH(D727)/3,0))</f>
        <v/>
      </c>
    </row>
    <row r="728">
      <c r="L728" s="5">
        <f>IF(D728="","",YEAR(D728)&amp;"-Q"&amp;ROUNDUP(MONTH(D728)/3,0))</f>
        <v/>
      </c>
    </row>
    <row r="729">
      <c r="L729" s="5">
        <f>IF(D729="","",YEAR(D729)&amp;"-Q"&amp;ROUNDUP(MONTH(D729)/3,0))</f>
        <v/>
      </c>
    </row>
    <row r="730">
      <c r="L730" s="5">
        <f>IF(D730="","",YEAR(D730)&amp;"-Q"&amp;ROUNDUP(MONTH(D730)/3,0))</f>
        <v/>
      </c>
    </row>
    <row r="731">
      <c r="L731" s="5">
        <f>IF(D731="","",YEAR(D731)&amp;"-Q"&amp;ROUNDUP(MONTH(D731)/3,0))</f>
        <v/>
      </c>
    </row>
    <row r="732">
      <c r="L732" s="5">
        <f>IF(D732="","",YEAR(D732)&amp;"-Q"&amp;ROUNDUP(MONTH(D732)/3,0))</f>
        <v/>
      </c>
    </row>
    <row r="733">
      <c r="L733" s="5">
        <f>IF(D733="","",YEAR(D733)&amp;"-Q"&amp;ROUNDUP(MONTH(D733)/3,0))</f>
        <v/>
      </c>
    </row>
    <row r="734">
      <c r="L734" s="5">
        <f>IF(D734="","",YEAR(D734)&amp;"-Q"&amp;ROUNDUP(MONTH(D734)/3,0))</f>
        <v/>
      </c>
    </row>
    <row r="735">
      <c r="L735" s="5">
        <f>IF(D735="","",YEAR(D735)&amp;"-Q"&amp;ROUNDUP(MONTH(D735)/3,0))</f>
        <v/>
      </c>
    </row>
    <row r="736">
      <c r="L736" s="5">
        <f>IF(D736="","",YEAR(D736)&amp;"-Q"&amp;ROUNDUP(MONTH(D736)/3,0))</f>
        <v/>
      </c>
    </row>
    <row r="737">
      <c r="L737" s="5">
        <f>IF(D737="","",YEAR(D737)&amp;"-Q"&amp;ROUNDUP(MONTH(D737)/3,0))</f>
        <v/>
      </c>
    </row>
    <row r="738">
      <c r="L738" s="5">
        <f>IF(D738="","",YEAR(D738)&amp;"-Q"&amp;ROUNDUP(MONTH(D738)/3,0))</f>
        <v/>
      </c>
    </row>
    <row r="739">
      <c r="L739" s="5">
        <f>IF(D739="","",YEAR(D739)&amp;"-Q"&amp;ROUNDUP(MONTH(D739)/3,0))</f>
        <v/>
      </c>
    </row>
    <row r="740">
      <c r="L740" s="5">
        <f>IF(D740="","",YEAR(D740)&amp;"-Q"&amp;ROUNDUP(MONTH(D740)/3,0))</f>
        <v/>
      </c>
    </row>
    <row r="741">
      <c r="L741" s="5">
        <f>IF(D741="","",YEAR(D741)&amp;"-Q"&amp;ROUNDUP(MONTH(D741)/3,0))</f>
        <v/>
      </c>
    </row>
    <row r="742">
      <c r="L742" s="5">
        <f>IF(D742="","",YEAR(D742)&amp;"-Q"&amp;ROUNDUP(MONTH(D742)/3,0))</f>
        <v/>
      </c>
    </row>
    <row r="743">
      <c r="L743" s="5">
        <f>IF(D743="","",YEAR(D743)&amp;"-Q"&amp;ROUNDUP(MONTH(D743)/3,0))</f>
        <v/>
      </c>
    </row>
    <row r="744">
      <c r="L744" s="5">
        <f>IF(D744="","",YEAR(D744)&amp;"-Q"&amp;ROUNDUP(MONTH(D744)/3,0))</f>
        <v/>
      </c>
    </row>
    <row r="745">
      <c r="L745" s="5">
        <f>IF(D745="","",YEAR(D745)&amp;"-Q"&amp;ROUNDUP(MONTH(D745)/3,0))</f>
        <v/>
      </c>
    </row>
    <row r="746">
      <c r="L746" s="5">
        <f>IF(D746="","",YEAR(D746)&amp;"-Q"&amp;ROUNDUP(MONTH(D746)/3,0))</f>
        <v/>
      </c>
    </row>
    <row r="747">
      <c r="L747" s="5">
        <f>IF(D747="","",YEAR(D747)&amp;"-Q"&amp;ROUNDUP(MONTH(D747)/3,0))</f>
        <v/>
      </c>
    </row>
    <row r="748">
      <c r="L748" s="5">
        <f>IF(D748="","",YEAR(D748)&amp;"-Q"&amp;ROUNDUP(MONTH(D748)/3,0))</f>
        <v/>
      </c>
    </row>
    <row r="749">
      <c r="L749" s="5">
        <f>IF(D749="","",YEAR(D749)&amp;"-Q"&amp;ROUNDUP(MONTH(D749)/3,0))</f>
        <v/>
      </c>
    </row>
    <row r="750">
      <c r="L750" s="5">
        <f>IF(D750="","",YEAR(D750)&amp;"-Q"&amp;ROUNDUP(MONTH(D750)/3,0))</f>
        <v/>
      </c>
    </row>
    <row r="751">
      <c r="L751" s="5">
        <f>IF(D751="","",YEAR(D751)&amp;"-Q"&amp;ROUNDUP(MONTH(D751)/3,0))</f>
        <v/>
      </c>
    </row>
    <row r="752">
      <c r="L752" s="5">
        <f>IF(D752="","",YEAR(D752)&amp;"-Q"&amp;ROUNDUP(MONTH(D752)/3,0))</f>
        <v/>
      </c>
    </row>
    <row r="753">
      <c r="L753" s="5">
        <f>IF(D753="","",YEAR(D753)&amp;"-Q"&amp;ROUNDUP(MONTH(D753)/3,0))</f>
        <v/>
      </c>
    </row>
    <row r="754">
      <c r="L754" s="5">
        <f>IF(D754="","",YEAR(D754)&amp;"-Q"&amp;ROUNDUP(MONTH(D754)/3,0))</f>
        <v/>
      </c>
    </row>
    <row r="755">
      <c r="L755" s="5">
        <f>IF(D755="","",YEAR(D755)&amp;"-Q"&amp;ROUNDUP(MONTH(D755)/3,0))</f>
        <v/>
      </c>
    </row>
    <row r="756">
      <c r="L756" s="5">
        <f>IF(D756="","",YEAR(D756)&amp;"-Q"&amp;ROUNDUP(MONTH(D756)/3,0))</f>
        <v/>
      </c>
    </row>
    <row r="757">
      <c r="L757" s="5">
        <f>IF(D757="","",YEAR(D757)&amp;"-Q"&amp;ROUNDUP(MONTH(D757)/3,0))</f>
        <v/>
      </c>
    </row>
    <row r="758">
      <c r="L758" s="5">
        <f>IF(D758="","",YEAR(D758)&amp;"-Q"&amp;ROUNDUP(MONTH(D758)/3,0))</f>
        <v/>
      </c>
    </row>
    <row r="759">
      <c r="L759" s="5">
        <f>IF(D759="","",YEAR(D759)&amp;"-Q"&amp;ROUNDUP(MONTH(D759)/3,0))</f>
        <v/>
      </c>
    </row>
    <row r="760">
      <c r="L760" s="5">
        <f>IF(D760="","",YEAR(D760)&amp;"-Q"&amp;ROUNDUP(MONTH(D760)/3,0))</f>
        <v/>
      </c>
    </row>
    <row r="761">
      <c r="L761" s="5">
        <f>IF(D761="","",YEAR(D761)&amp;"-Q"&amp;ROUNDUP(MONTH(D761)/3,0))</f>
        <v/>
      </c>
    </row>
    <row r="762">
      <c r="L762" s="5">
        <f>IF(D762="","",YEAR(D762)&amp;"-Q"&amp;ROUNDUP(MONTH(D762)/3,0))</f>
        <v/>
      </c>
    </row>
    <row r="763">
      <c r="L763" s="5">
        <f>IF(D763="","",YEAR(D763)&amp;"-Q"&amp;ROUNDUP(MONTH(D763)/3,0))</f>
        <v/>
      </c>
    </row>
    <row r="764">
      <c r="L764" s="5">
        <f>IF(D764="","",YEAR(D764)&amp;"-Q"&amp;ROUNDUP(MONTH(D764)/3,0))</f>
        <v/>
      </c>
    </row>
    <row r="765">
      <c r="L765" s="5">
        <f>IF(D765="","",YEAR(D765)&amp;"-Q"&amp;ROUNDUP(MONTH(D765)/3,0))</f>
        <v/>
      </c>
    </row>
    <row r="766">
      <c r="L766" s="5">
        <f>IF(D766="","",YEAR(D766)&amp;"-Q"&amp;ROUNDUP(MONTH(D766)/3,0))</f>
        <v/>
      </c>
    </row>
    <row r="767">
      <c r="L767" s="5">
        <f>IF(D767="","",YEAR(D767)&amp;"-Q"&amp;ROUNDUP(MONTH(D767)/3,0))</f>
        <v/>
      </c>
    </row>
    <row r="768">
      <c r="L768" s="5">
        <f>IF(D768="","",YEAR(D768)&amp;"-Q"&amp;ROUNDUP(MONTH(D768)/3,0))</f>
        <v/>
      </c>
    </row>
    <row r="769">
      <c r="L769" s="5">
        <f>IF(D769="","",YEAR(D769)&amp;"-Q"&amp;ROUNDUP(MONTH(D769)/3,0))</f>
        <v/>
      </c>
    </row>
    <row r="770">
      <c r="L770" s="5">
        <f>IF(D770="","",YEAR(D770)&amp;"-Q"&amp;ROUNDUP(MONTH(D770)/3,0))</f>
        <v/>
      </c>
    </row>
    <row r="771">
      <c r="L771" s="5">
        <f>IF(D771="","",YEAR(D771)&amp;"-Q"&amp;ROUNDUP(MONTH(D771)/3,0))</f>
        <v/>
      </c>
    </row>
    <row r="772">
      <c r="L772" s="5">
        <f>IF(D772="","",YEAR(D772)&amp;"-Q"&amp;ROUNDUP(MONTH(D772)/3,0))</f>
        <v/>
      </c>
    </row>
    <row r="773">
      <c r="L773" s="5">
        <f>IF(D773="","",YEAR(D773)&amp;"-Q"&amp;ROUNDUP(MONTH(D773)/3,0))</f>
        <v/>
      </c>
    </row>
    <row r="774">
      <c r="L774" s="5">
        <f>IF(D774="","",YEAR(D774)&amp;"-Q"&amp;ROUNDUP(MONTH(D774)/3,0))</f>
        <v/>
      </c>
    </row>
    <row r="775">
      <c r="L775" s="5">
        <f>IF(D775="","",YEAR(D775)&amp;"-Q"&amp;ROUNDUP(MONTH(D775)/3,0))</f>
        <v/>
      </c>
    </row>
    <row r="776">
      <c r="L776" s="5">
        <f>IF(D776="","",YEAR(D776)&amp;"-Q"&amp;ROUNDUP(MONTH(D776)/3,0))</f>
        <v/>
      </c>
    </row>
    <row r="777">
      <c r="L777" s="5">
        <f>IF(D777="","",YEAR(D777)&amp;"-Q"&amp;ROUNDUP(MONTH(D777)/3,0))</f>
        <v/>
      </c>
    </row>
    <row r="778">
      <c r="L778" s="5">
        <f>IF(D778="","",YEAR(D778)&amp;"-Q"&amp;ROUNDUP(MONTH(D778)/3,0))</f>
        <v/>
      </c>
    </row>
    <row r="779">
      <c r="L779" s="5">
        <f>IF(D779="","",YEAR(D779)&amp;"-Q"&amp;ROUNDUP(MONTH(D779)/3,0))</f>
        <v/>
      </c>
    </row>
    <row r="780">
      <c r="L780" s="5">
        <f>IF(D780="","",YEAR(D780)&amp;"-Q"&amp;ROUNDUP(MONTH(D780)/3,0))</f>
        <v/>
      </c>
    </row>
    <row r="781">
      <c r="L781" s="5">
        <f>IF(D781="","",YEAR(D781)&amp;"-Q"&amp;ROUNDUP(MONTH(D781)/3,0))</f>
        <v/>
      </c>
    </row>
    <row r="782">
      <c r="L782" s="5">
        <f>IF(D782="","",YEAR(D782)&amp;"-Q"&amp;ROUNDUP(MONTH(D782)/3,0))</f>
        <v/>
      </c>
    </row>
    <row r="783">
      <c r="L783" s="5">
        <f>IF(D783="","",YEAR(D783)&amp;"-Q"&amp;ROUNDUP(MONTH(D783)/3,0))</f>
        <v/>
      </c>
    </row>
    <row r="784">
      <c r="L784" s="5">
        <f>IF(D784="","",YEAR(D784)&amp;"-Q"&amp;ROUNDUP(MONTH(D784)/3,0))</f>
        <v/>
      </c>
    </row>
    <row r="785">
      <c r="L785" s="5">
        <f>IF(D785="","",YEAR(D785)&amp;"-Q"&amp;ROUNDUP(MONTH(D785)/3,0))</f>
        <v/>
      </c>
    </row>
    <row r="786">
      <c r="L786" s="5">
        <f>IF(D786="","",YEAR(D786)&amp;"-Q"&amp;ROUNDUP(MONTH(D786)/3,0))</f>
        <v/>
      </c>
    </row>
    <row r="787">
      <c r="L787" s="5">
        <f>IF(D787="","",YEAR(D787)&amp;"-Q"&amp;ROUNDUP(MONTH(D787)/3,0))</f>
        <v/>
      </c>
    </row>
    <row r="788">
      <c r="L788" s="5">
        <f>IF(D788="","",YEAR(D788)&amp;"-Q"&amp;ROUNDUP(MONTH(D788)/3,0))</f>
        <v/>
      </c>
    </row>
    <row r="789">
      <c r="L789" s="5">
        <f>IF(D789="","",YEAR(D789)&amp;"-Q"&amp;ROUNDUP(MONTH(D789)/3,0))</f>
        <v/>
      </c>
    </row>
    <row r="790">
      <c r="L790" s="5">
        <f>IF(D790="","",YEAR(D790)&amp;"-Q"&amp;ROUNDUP(MONTH(D790)/3,0))</f>
        <v/>
      </c>
    </row>
    <row r="791">
      <c r="L791" s="5">
        <f>IF(D791="","",YEAR(D791)&amp;"-Q"&amp;ROUNDUP(MONTH(D791)/3,0))</f>
        <v/>
      </c>
    </row>
    <row r="792">
      <c r="L792" s="5">
        <f>IF(D792="","",YEAR(D792)&amp;"-Q"&amp;ROUNDUP(MONTH(D792)/3,0))</f>
        <v/>
      </c>
    </row>
    <row r="793">
      <c r="L793" s="5">
        <f>IF(D793="","",YEAR(D793)&amp;"-Q"&amp;ROUNDUP(MONTH(D793)/3,0))</f>
        <v/>
      </c>
    </row>
    <row r="794">
      <c r="L794" s="5">
        <f>IF(D794="","",YEAR(D794)&amp;"-Q"&amp;ROUNDUP(MONTH(D794)/3,0))</f>
        <v/>
      </c>
    </row>
    <row r="795">
      <c r="L795" s="5">
        <f>IF(D795="","",YEAR(D795)&amp;"-Q"&amp;ROUNDUP(MONTH(D795)/3,0))</f>
        <v/>
      </c>
    </row>
    <row r="796">
      <c r="L796" s="5">
        <f>IF(D796="","",YEAR(D796)&amp;"-Q"&amp;ROUNDUP(MONTH(D796)/3,0))</f>
        <v/>
      </c>
    </row>
    <row r="797">
      <c r="L797" s="5">
        <f>IF(D797="","",YEAR(D797)&amp;"-Q"&amp;ROUNDUP(MONTH(D797)/3,0))</f>
        <v/>
      </c>
    </row>
    <row r="798">
      <c r="L798" s="5">
        <f>IF(D798="","",YEAR(D798)&amp;"-Q"&amp;ROUNDUP(MONTH(D798)/3,0))</f>
        <v/>
      </c>
    </row>
    <row r="799">
      <c r="L799" s="5">
        <f>IF(D799="","",YEAR(D799)&amp;"-Q"&amp;ROUNDUP(MONTH(D799)/3,0))</f>
        <v/>
      </c>
    </row>
    <row r="800">
      <c r="L800" s="5">
        <f>IF(D800="","",YEAR(D800)&amp;"-Q"&amp;ROUNDUP(MONTH(D800)/3,0))</f>
        <v/>
      </c>
    </row>
    <row r="801">
      <c r="L801" s="5">
        <f>IF(D801="","",YEAR(D801)&amp;"-Q"&amp;ROUNDUP(MONTH(D801)/3,0))</f>
        <v/>
      </c>
    </row>
    <row r="802">
      <c r="L802" s="5">
        <f>IF(D802="","",YEAR(D802)&amp;"-Q"&amp;ROUNDUP(MONTH(D802)/3,0))</f>
        <v/>
      </c>
    </row>
    <row r="803">
      <c r="L803" s="5">
        <f>IF(D803="","",YEAR(D803)&amp;"-Q"&amp;ROUNDUP(MONTH(D803)/3,0))</f>
        <v/>
      </c>
    </row>
    <row r="804">
      <c r="L804" s="5">
        <f>IF(D804="","",YEAR(D804)&amp;"-Q"&amp;ROUNDUP(MONTH(D804)/3,0))</f>
        <v/>
      </c>
    </row>
    <row r="805">
      <c r="L805" s="5">
        <f>IF(D805="","",YEAR(D805)&amp;"-Q"&amp;ROUNDUP(MONTH(D805)/3,0))</f>
        <v/>
      </c>
    </row>
    <row r="806">
      <c r="L806" s="5">
        <f>IF(D806="","",YEAR(D806)&amp;"-Q"&amp;ROUNDUP(MONTH(D806)/3,0))</f>
        <v/>
      </c>
    </row>
    <row r="807">
      <c r="L807" s="5">
        <f>IF(D807="","",YEAR(D807)&amp;"-Q"&amp;ROUNDUP(MONTH(D807)/3,0))</f>
        <v/>
      </c>
    </row>
    <row r="808">
      <c r="L808" s="5">
        <f>IF(D808="","",YEAR(D808)&amp;"-Q"&amp;ROUNDUP(MONTH(D808)/3,0))</f>
        <v/>
      </c>
    </row>
    <row r="809">
      <c r="L809" s="5">
        <f>IF(D809="","",YEAR(D809)&amp;"-Q"&amp;ROUNDUP(MONTH(D809)/3,0))</f>
        <v/>
      </c>
    </row>
    <row r="810">
      <c r="L810" s="5">
        <f>IF(D810="","",YEAR(D810)&amp;"-Q"&amp;ROUNDUP(MONTH(D810)/3,0))</f>
        <v/>
      </c>
    </row>
    <row r="811">
      <c r="L811" s="5">
        <f>IF(D811="","",YEAR(D811)&amp;"-Q"&amp;ROUNDUP(MONTH(D811)/3,0))</f>
        <v/>
      </c>
    </row>
    <row r="812">
      <c r="L812" s="5">
        <f>IF(D812="","",YEAR(D812)&amp;"-Q"&amp;ROUNDUP(MONTH(D812)/3,0))</f>
        <v/>
      </c>
    </row>
    <row r="813">
      <c r="L813" s="5">
        <f>IF(D813="","",YEAR(D813)&amp;"-Q"&amp;ROUNDUP(MONTH(D813)/3,0))</f>
        <v/>
      </c>
    </row>
    <row r="814">
      <c r="L814" s="5">
        <f>IF(D814="","",YEAR(D814)&amp;"-Q"&amp;ROUNDUP(MONTH(D814)/3,0))</f>
        <v/>
      </c>
    </row>
    <row r="815">
      <c r="L815" s="5">
        <f>IF(D815="","",YEAR(D815)&amp;"-Q"&amp;ROUNDUP(MONTH(D815)/3,0))</f>
        <v/>
      </c>
    </row>
    <row r="816">
      <c r="L816" s="5">
        <f>IF(D816="","",YEAR(D816)&amp;"-Q"&amp;ROUNDUP(MONTH(D816)/3,0))</f>
        <v/>
      </c>
    </row>
    <row r="817">
      <c r="L817" s="5">
        <f>IF(D817="","",YEAR(D817)&amp;"-Q"&amp;ROUNDUP(MONTH(D817)/3,0))</f>
        <v/>
      </c>
    </row>
    <row r="818">
      <c r="L818" s="5">
        <f>IF(D818="","",YEAR(D818)&amp;"-Q"&amp;ROUNDUP(MONTH(D818)/3,0))</f>
        <v/>
      </c>
    </row>
    <row r="819">
      <c r="L819" s="5">
        <f>IF(D819="","",YEAR(D819)&amp;"-Q"&amp;ROUNDUP(MONTH(D819)/3,0))</f>
        <v/>
      </c>
    </row>
    <row r="820">
      <c r="L820" s="5">
        <f>IF(D820="","",YEAR(D820)&amp;"-Q"&amp;ROUNDUP(MONTH(D820)/3,0))</f>
        <v/>
      </c>
    </row>
    <row r="821">
      <c r="L821" s="5">
        <f>IF(D821="","",YEAR(D821)&amp;"-Q"&amp;ROUNDUP(MONTH(D821)/3,0))</f>
        <v/>
      </c>
    </row>
    <row r="822">
      <c r="L822" s="5">
        <f>IF(D822="","",YEAR(D822)&amp;"-Q"&amp;ROUNDUP(MONTH(D822)/3,0))</f>
        <v/>
      </c>
    </row>
    <row r="823">
      <c r="L823" s="5">
        <f>IF(D823="","",YEAR(D823)&amp;"-Q"&amp;ROUNDUP(MONTH(D823)/3,0))</f>
        <v/>
      </c>
    </row>
    <row r="824">
      <c r="L824" s="5">
        <f>IF(D824="","",YEAR(D824)&amp;"-Q"&amp;ROUNDUP(MONTH(D824)/3,0))</f>
        <v/>
      </c>
    </row>
    <row r="825">
      <c r="L825" s="5">
        <f>IF(D825="","",YEAR(D825)&amp;"-Q"&amp;ROUNDUP(MONTH(D825)/3,0))</f>
        <v/>
      </c>
    </row>
    <row r="826">
      <c r="L826" s="5">
        <f>IF(D826="","",YEAR(D826)&amp;"-Q"&amp;ROUNDUP(MONTH(D826)/3,0))</f>
        <v/>
      </c>
    </row>
    <row r="827">
      <c r="L827" s="5">
        <f>IF(D827="","",YEAR(D827)&amp;"-Q"&amp;ROUNDUP(MONTH(D827)/3,0))</f>
        <v/>
      </c>
    </row>
    <row r="828">
      <c r="L828" s="5">
        <f>IF(D828="","",YEAR(D828)&amp;"-Q"&amp;ROUNDUP(MONTH(D828)/3,0))</f>
        <v/>
      </c>
    </row>
    <row r="829">
      <c r="L829" s="5">
        <f>IF(D829="","",YEAR(D829)&amp;"-Q"&amp;ROUNDUP(MONTH(D829)/3,0))</f>
        <v/>
      </c>
    </row>
    <row r="830">
      <c r="L830" s="5">
        <f>IF(D830="","",YEAR(D830)&amp;"-Q"&amp;ROUNDUP(MONTH(D830)/3,0))</f>
        <v/>
      </c>
    </row>
    <row r="831">
      <c r="L831" s="5">
        <f>IF(D831="","",YEAR(D831)&amp;"-Q"&amp;ROUNDUP(MONTH(D831)/3,0))</f>
        <v/>
      </c>
    </row>
    <row r="832">
      <c r="L832" s="5">
        <f>IF(D832="","",YEAR(D832)&amp;"-Q"&amp;ROUNDUP(MONTH(D832)/3,0))</f>
        <v/>
      </c>
    </row>
    <row r="833">
      <c r="L833" s="5">
        <f>IF(D833="","",YEAR(D833)&amp;"-Q"&amp;ROUNDUP(MONTH(D833)/3,0))</f>
        <v/>
      </c>
    </row>
    <row r="834">
      <c r="L834" s="5">
        <f>IF(D834="","",YEAR(D834)&amp;"-Q"&amp;ROUNDUP(MONTH(D834)/3,0))</f>
        <v/>
      </c>
    </row>
    <row r="835">
      <c r="L835" s="5">
        <f>IF(D835="","",YEAR(D835)&amp;"-Q"&amp;ROUNDUP(MONTH(D835)/3,0))</f>
        <v/>
      </c>
    </row>
    <row r="836">
      <c r="L836" s="5">
        <f>IF(D836="","",YEAR(D836)&amp;"-Q"&amp;ROUNDUP(MONTH(D836)/3,0))</f>
        <v/>
      </c>
    </row>
    <row r="837">
      <c r="L837" s="5">
        <f>IF(D837="","",YEAR(D837)&amp;"-Q"&amp;ROUNDUP(MONTH(D837)/3,0))</f>
        <v/>
      </c>
    </row>
    <row r="838">
      <c r="L838" s="5">
        <f>IF(D838="","",YEAR(D838)&amp;"-Q"&amp;ROUNDUP(MONTH(D838)/3,0))</f>
        <v/>
      </c>
    </row>
    <row r="839">
      <c r="L839" s="5">
        <f>IF(D839="","",YEAR(D839)&amp;"-Q"&amp;ROUNDUP(MONTH(D839)/3,0))</f>
        <v/>
      </c>
    </row>
    <row r="840">
      <c r="L840" s="5">
        <f>IF(D840="","",YEAR(D840)&amp;"-Q"&amp;ROUNDUP(MONTH(D840)/3,0))</f>
        <v/>
      </c>
    </row>
    <row r="841">
      <c r="L841" s="5">
        <f>IF(D841="","",YEAR(D841)&amp;"-Q"&amp;ROUNDUP(MONTH(D841)/3,0))</f>
        <v/>
      </c>
    </row>
    <row r="842">
      <c r="L842" s="5">
        <f>IF(D842="","",YEAR(D842)&amp;"-Q"&amp;ROUNDUP(MONTH(D842)/3,0))</f>
        <v/>
      </c>
    </row>
    <row r="843">
      <c r="L843" s="5">
        <f>IF(D843="","",YEAR(D843)&amp;"-Q"&amp;ROUNDUP(MONTH(D843)/3,0))</f>
        <v/>
      </c>
    </row>
    <row r="844">
      <c r="L844" s="5">
        <f>IF(D844="","",YEAR(D844)&amp;"-Q"&amp;ROUNDUP(MONTH(D844)/3,0))</f>
        <v/>
      </c>
    </row>
    <row r="845">
      <c r="L845" s="5">
        <f>IF(D845="","",YEAR(D845)&amp;"-Q"&amp;ROUNDUP(MONTH(D845)/3,0))</f>
        <v/>
      </c>
    </row>
    <row r="846">
      <c r="L846" s="5">
        <f>IF(D846="","",YEAR(D846)&amp;"-Q"&amp;ROUNDUP(MONTH(D846)/3,0))</f>
        <v/>
      </c>
    </row>
    <row r="847">
      <c r="L847" s="5">
        <f>IF(D847="","",YEAR(D847)&amp;"-Q"&amp;ROUNDUP(MONTH(D847)/3,0))</f>
        <v/>
      </c>
    </row>
    <row r="848">
      <c r="L848" s="5">
        <f>IF(D848="","",YEAR(D848)&amp;"-Q"&amp;ROUNDUP(MONTH(D848)/3,0))</f>
        <v/>
      </c>
    </row>
    <row r="849">
      <c r="L849" s="5">
        <f>IF(D849="","",YEAR(D849)&amp;"-Q"&amp;ROUNDUP(MONTH(D849)/3,0))</f>
        <v/>
      </c>
    </row>
    <row r="850">
      <c r="L850" s="5">
        <f>IF(D850="","",YEAR(D850)&amp;"-Q"&amp;ROUNDUP(MONTH(D850)/3,0))</f>
        <v/>
      </c>
    </row>
    <row r="851">
      <c r="L851" s="5">
        <f>IF(D851="","",YEAR(D851)&amp;"-Q"&amp;ROUNDUP(MONTH(D851)/3,0))</f>
        <v/>
      </c>
    </row>
    <row r="852">
      <c r="L852" s="5">
        <f>IF(D852="","",YEAR(D852)&amp;"-Q"&amp;ROUNDUP(MONTH(D852)/3,0))</f>
        <v/>
      </c>
    </row>
    <row r="853">
      <c r="L853" s="5">
        <f>IF(D853="","",YEAR(D853)&amp;"-Q"&amp;ROUNDUP(MONTH(D853)/3,0))</f>
        <v/>
      </c>
    </row>
    <row r="854">
      <c r="L854" s="5">
        <f>IF(D854="","",YEAR(D854)&amp;"-Q"&amp;ROUNDUP(MONTH(D854)/3,0))</f>
        <v/>
      </c>
    </row>
    <row r="855">
      <c r="L855" s="5">
        <f>IF(D855="","",YEAR(D855)&amp;"-Q"&amp;ROUNDUP(MONTH(D855)/3,0))</f>
        <v/>
      </c>
    </row>
    <row r="856">
      <c r="L856" s="5">
        <f>IF(D856="","",YEAR(D856)&amp;"-Q"&amp;ROUNDUP(MONTH(D856)/3,0))</f>
        <v/>
      </c>
    </row>
    <row r="857">
      <c r="L857" s="5">
        <f>IF(D857="","",YEAR(D857)&amp;"-Q"&amp;ROUNDUP(MONTH(D857)/3,0))</f>
        <v/>
      </c>
    </row>
    <row r="858">
      <c r="L858" s="5">
        <f>IF(D858="","",YEAR(D858)&amp;"-Q"&amp;ROUNDUP(MONTH(D858)/3,0))</f>
        <v/>
      </c>
    </row>
    <row r="859">
      <c r="L859" s="5">
        <f>IF(D859="","",YEAR(D859)&amp;"-Q"&amp;ROUNDUP(MONTH(D859)/3,0))</f>
        <v/>
      </c>
    </row>
    <row r="860">
      <c r="L860" s="5">
        <f>IF(D860="","",YEAR(D860)&amp;"-Q"&amp;ROUNDUP(MONTH(D860)/3,0))</f>
        <v/>
      </c>
    </row>
    <row r="861">
      <c r="L861" s="5">
        <f>IF(D861="","",YEAR(D861)&amp;"-Q"&amp;ROUNDUP(MONTH(D861)/3,0))</f>
        <v/>
      </c>
    </row>
    <row r="862">
      <c r="L862" s="5">
        <f>IF(D862="","",YEAR(D862)&amp;"-Q"&amp;ROUNDUP(MONTH(D862)/3,0))</f>
        <v/>
      </c>
    </row>
    <row r="863">
      <c r="L863" s="5">
        <f>IF(D863="","",YEAR(D863)&amp;"-Q"&amp;ROUNDUP(MONTH(D863)/3,0))</f>
        <v/>
      </c>
    </row>
    <row r="864">
      <c r="L864" s="5">
        <f>IF(D864="","",YEAR(D864)&amp;"-Q"&amp;ROUNDUP(MONTH(D864)/3,0))</f>
        <v/>
      </c>
    </row>
    <row r="865">
      <c r="L865" s="5">
        <f>IF(D865="","",YEAR(D865)&amp;"-Q"&amp;ROUNDUP(MONTH(D865)/3,0))</f>
        <v/>
      </c>
    </row>
    <row r="866">
      <c r="L866" s="5">
        <f>IF(D866="","",YEAR(D866)&amp;"-Q"&amp;ROUNDUP(MONTH(D866)/3,0))</f>
        <v/>
      </c>
    </row>
    <row r="867">
      <c r="L867" s="5">
        <f>IF(D867="","",YEAR(D867)&amp;"-Q"&amp;ROUNDUP(MONTH(D867)/3,0))</f>
        <v/>
      </c>
    </row>
    <row r="868">
      <c r="L868" s="5">
        <f>IF(D868="","",YEAR(D868)&amp;"-Q"&amp;ROUNDUP(MONTH(D868)/3,0))</f>
        <v/>
      </c>
    </row>
    <row r="869">
      <c r="L869" s="5">
        <f>IF(D869="","",YEAR(D869)&amp;"-Q"&amp;ROUNDUP(MONTH(D869)/3,0))</f>
        <v/>
      </c>
    </row>
    <row r="870">
      <c r="L870" s="5">
        <f>IF(D870="","",YEAR(D870)&amp;"-Q"&amp;ROUNDUP(MONTH(D870)/3,0))</f>
        <v/>
      </c>
    </row>
    <row r="871">
      <c r="L871" s="5">
        <f>IF(D871="","",YEAR(D871)&amp;"-Q"&amp;ROUNDUP(MONTH(D871)/3,0))</f>
        <v/>
      </c>
    </row>
    <row r="872">
      <c r="L872" s="5">
        <f>IF(D872="","",YEAR(D872)&amp;"-Q"&amp;ROUNDUP(MONTH(D872)/3,0))</f>
        <v/>
      </c>
    </row>
    <row r="873">
      <c r="L873" s="5">
        <f>IF(D873="","",YEAR(D873)&amp;"-Q"&amp;ROUNDUP(MONTH(D873)/3,0))</f>
        <v/>
      </c>
    </row>
    <row r="874">
      <c r="L874" s="5">
        <f>IF(D874="","",YEAR(D874)&amp;"-Q"&amp;ROUNDUP(MONTH(D874)/3,0))</f>
        <v/>
      </c>
    </row>
    <row r="875">
      <c r="L875" s="5">
        <f>IF(D875="","",YEAR(D875)&amp;"-Q"&amp;ROUNDUP(MONTH(D875)/3,0))</f>
        <v/>
      </c>
    </row>
    <row r="876">
      <c r="L876" s="5">
        <f>IF(D876="","",YEAR(D876)&amp;"-Q"&amp;ROUNDUP(MONTH(D876)/3,0))</f>
        <v/>
      </c>
    </row>
    <row r="877">
      <c r="L877" s="5">
        <f>IF(D877="","",YEAR(D877)&amp;"-Q"&amp;ROUNDUP(MONTH(D877)/3,0))</f>
        <v/>
      </c>
    </row>
    <row r="878">
      <c r="L878" s="5">
        <f>IF(D878="","",YEAR(D878)&amp;"-Q"&amp;ROUNDUP(MONTH(D878)/3,0))</f>
        <v/>
      </c>
    </row>
    <row r="879">
      <c r="L879" s="5">
        <f>IF(D879="","",YEAR(D879)&amp;"-Q"&amp;ROUNDUP(MONTH(D879)/3,0))</f>
        <v/>
      </c>
    </row>
    <row r="880">
      <c r="L880" s="5">
        <f>IF(D880="","",YEAR(D880)&amp;"-Q"&amp;ROUNDUP(MONTH(D880)/3,0))</f>
        <v/>
      </c>
    </row>
    <row r="881">
      <c r="L881" s="5">
        <f>IF(D881="","",YEAR(D881)&amp;"-Q"&amp;ROUNDUP(MONTH(D881)/3,0))</f>
        <v/>
      </c>
    </row>
    <row r="882">
      <c r="L882" s="5">
        <f>IF(D882="","",YEAR(D882)&amp;"-Q"&amp;ROUNDUP(MONTH(D882)/3,0))</f>
        <v/>
      </c>
    </row>
    <row r="883">
      <c r="L883" s="5">
        <f>IF(D883="","",YEAR(D883)&amp;"-Q"&amp;ROUNDUP(MONTH(D883)/3,0))</f>
        <v/>
      </c>
    </row>
    <row r="884">
      <c r="L884" s="5">
        <f>IF(D884="","",YEAR(D884)&amp;"-Q"&amp;ROUNDUP(MONTH(D884)/3,0))</f>
        <v/>
      </c>
    </row>
    <row r="885">
      <c r="L885" s="5">
        <f>IF(D885="","",YEAR(D885)&amp;"-Q"&amp;ROUNDUP(MONTH(D885)/3,0))</f>
        <v/>
      </c>
    </row>
    <row r="886">
      <c r="L886" s="5">
        <f>IF(D886="","",YEAR(D886)&amp;"-Q"&amp;ROUNDUP(MONTH(D886)/3,0))</f>
        <v/>
      </c>
    </row>
    <row r="887">
      <c r="L887" s="5">
        <f>IF(D887="","",YEAR(D887)&amp;"-Q"&amp;ROUNDUP(MONTH(D887)/3,0))</f>
        <v/>
      </c>
    </row>
    <row r="888">
      <c r="L888" s="5">
        <f>IF(D888="","",YEAR(D888)&amp;"-Q"&amp;ROUNDUP(MONTH(D888)/3,0))</f>
        <v/>
      </c>
    </row>
    <row r="889">
      <c r="L889" s="5">
        <f>IF(D889="","",YEAR(D889)&amp;"-Q"&amp;ROUNDUP(MONTH(D889)/3,0))</f>
        <v/>
      </c>
    </row>
    <row r="890">
      <c r="L890" s="5">
        <f>IF(D890="","",YEAR(D890)&amp;"-Q"&amp;ROUNDUP(MONTH(D890)/3,0))</f>
        <v/>
      </c>
    </row>
    <row r="891">
      <c r="L891" s="5">
        <f>IF(D891="","",YEAR(D891)&amp;"-Q"&amp;ROUNDUP(MONTH(D891)/3,0))</f>
        <v/>
      </c>
    </row>
    <row r="892">
      <c r="L892" s="5">
        <f>IF(D892="","",YEAR(D892)&amp;"-Q"&amp;ROUNDUP(MONTH(D892)/3,0))</f>
        <v/>
      </c>
    </row>
    <row r="893">
      <c r="L893" s="5">
        <f>IF(D893="","",YEAR(D893)&amp;"-Q"&amp;ROUNDUP(MONTH(D893)/3,0))</f>
        <v/>
      </c>
    </row>
    <row r="894">
      <c r="L894" s="5">
        <f>IF(D894="","",YEAR(D894)&amp;"-Q"&amp;ROUNDUP(MONTH(D894)/3,0))</f>
        <v/>
      </c>
    </row>
    <row r="895">
      <c r="L895" s="5">
        <f>IF(D895="","",YEAR(D895)&amp;"-Q"&amp;ROUNDUP(MONTH(D895)/3,0))</f>
        <v/>
      </c>
    </row>
    <row r="896">
      <c r="L896" s="5">
        <f>IF(D896="","",YEAR(D896)&amp;"-Q"&amp;ROUNDUP(MONTH(D896)/3,0))</f>
        <v/>
      </c>
    </row>
    <row r="897">
      <c r="L897" s="5">
        <f>IF(D897="","",YEAR(D897)&amp;"-Q"&amp;ROUNDUP(MONTH(D897)/3,0))</f>
        <v/>
      </c>
    </row>
    <row r="898">
      <c r="L898" s="5">
        <f>IF(D898="","",YEAR(D898)&amp;"-Q"&amp;ROUNDUP(MONTH(D898)/3,0))</f>
        <v/>
      </c>
    </row>
    <row r="899">
      <c r="L899" s="5">
        <f>IF(D899="","",YEAR(D899)&amp;"-Q"&amp;ROUNDUP(MONTH(D899)/3,0))</f>
        <v/>
      </c>
    </row>
    <row r="900">
      <c r="L900" s="5">
        <f>IF(D900="","",YEAR(D900)&amp;"-Q"&amp;ROUNDUP(MONTH(D900)/3,0))</f>
        <v/>
      </c>
    </row>
    <row r="901">
      <c r="L901" s="5">
        <f>IF(D901="","",YEAR(D901)&amp;"-Q"&amp;ROUNDUP(MONTH(D901)/3,0))</f>
        <v/>
      </c>
    </row>
    <row r="902">
      <c r="L902" s="5">
        <f>IF(D902="","",YEAR(D902)&amp;"-Q"&amp;ROUNDUP(MONTH(D902)/3,0))</f>
        <v/>
      </c>
    </row>
    <row r="903">
      <c r="L903" s="5">
        <f>IF(D903="","",YEAR(D903)&amp;"-Q"&amp;ROUNDUP(MONTH(D903)/3,0))</f>
        <v/>
      </c>
    </row>
    <row r="904">
      <c r="L904" s="5">
        <f>IF(D904="","",YEAR(D904)&amp;"-Q"&amp;ROUNDUP(MONTH(D904)/3,0))</f>
        <v/>
      </c>
    </row>
    <row r="905">
      <c r="L905" s="5">
        <f>IF(D905="","",YEAR(D905)&amp;"-Q"&amp;ROUNDUP(MONTH(D905)/3,0))</f>
        <v/>
      </c>
    </row>
    <row r="906">
      <c r="L906" s="5">
        <f>IF(D906="","",YEAR(D906)&amp;"-Q"&amp;ROUNDUP(MONTH(D906)/3,0))</f>
        <v/>
      </c>
    </row>
    <row r="907">
      <c r="L907" s="5">
        <f>IF(D907="","",YEAR(D907)&amp;"-Q"&amp;ROUNDUP(MONTH(D907)/3,0))</f>
        <v/>
      </c>
    </row>
    <row r="908">
      <c r="L908" s="5">
        <f>IF(D908="","",YEAR(D908)&amp;"-Q"&amp;ROUNDUP(MONTH(D908)/3,0))</f>
        <v/>
      </c>
    </row>
    <row r="909">
      <c r="L909" s="5">
        <f>IF(D909="","",YEAR(D909)&amp;"-Q"&amp;ROUNDUP(MONTH(D909)/3,0))</f>
        <v/>
      </c>
    </row>
    <row r="910">
      <c r="L910" s="5">
        <f>IF(D910="","",YEAR(D910)&amp;"-Q"&amp;ROUNDUP(MONTH(D910)/3,0))</f>
        <v/>
      </c>
    </row>
    <row r="911">
      <c r="L911" s="5">
        <f>IF(D911="","",YEAR(D911)&amp;"-Q"&amp;ROUNDUP(MONTH(D911)/3,0))</f>
        <v/>
      </c>
    </row>
    <row r="912">
      <c r="L912" s="5">
        <f>IF(D912="","",YEAR(D912)&amp;"-Q"&amp;ROUNDUP(MONTH(D912)/3,0))</f>
        <v/>
      </c>
    </row>
    <row r="913">
      <c r="L913" s="5">
        <f>IF(D913="","",YEAR(D913)&amp;"-Q"&amp;ROUNDUP(MONTH(D913)/3,0))</f>
        <v/>
      </c>
    </row>
    <row r="914">
      <c r="L914" s="5">
        <f>IF(D914="","",YEAR(D914)&amp;"-Q"&amp;ROUNDUP(MONTH(D914)/3,0))</f>
        <v/>
      </c>
    </row>
    <row r="915">
      <c r="L915" s="5">
        <f>IF(D915="","",YEAR(D915)&amp;"-Q"&amp;ROUNDUP(MONTH(D915)/3,0))</f>
        <v/>
      </c>
    </row>
    <row r="916">
      <c r="L916" s="5">
        <f>IF(D916="","",YEAR(D916)&amp;"-Q"&amp;ROUNDUP(MONTH(D916)/3,0))</f>
        <v/>
      </c>
    </row>
    <row r="917">
      <c r="L917" s="5">
        <f>IF(D917="","",YEAR(D917)&amp;"-Q"&amp;ROUNDUP(MONTH(D917)/3,0))</f>
        <v/>
      </c>
    </row>
    <row r="918">
      <c r="L918" s="5">
        <f>IF(D918="","",YEAR(D918)&amp;"-Q"&amp;ROUNDUP(MONTH(D918)/3,0))</f>
        <v/>
      </c>
    </row>
    <row r="919">
      <c r="L919" s="5">
        <f>IF(D919="","",YEAR(D919)&amp;"-Q"&amp;ROUNDUP(MONTH(D919)/3,0))</f>
        <v/>
      </c>
    </row>
    <row r="920">
      <c r="L920" s="5">
        <f>IF(D920="","",YEAR(D920)&amp;"-Q"&amp;ROUNDUP(MONTH(D920)/3,0))</f>
        <v/>
      </c>
    </row>
    <row r="921">
      <c r="L921" s="5">
        <f>IF(D921="","",YEAR(D921)&amp;"-Q"&amp;ROUNDUP(MONTH(D921)/3,0))</f>
        <v/>
      </c>
    </row>
    <row r="922">
      <c r="L922" s="5">
        <f>IF(D922="","",YEAR(D922)&amp;"-Q"&amp;ROUNDUP(MONTH(D922)/3,0))</f>
        <v/>
      </c>
    </row>
    <row r="923">
      <c r="L923" s="5">
        <f>IF(D923="","",YEAR(D923)&amp;"-Q"&amp;ROUNDUP(MONTH(D923)/3,0))</f>
        <v/>
      </c>
    </row>
    <row r="924">
      <c r="L924" s="5">
        <f>IF(D924="","",YEAR(D924)&amp;"-Q"&amp;ROUNDUP(MONTH(D924)/3,0))</f>
        <v/>
      </c>
    </row>
    <row r="925">
      <c r="L925" s="5">
        <f>IF(D925="","",YEAR(D925)&amp;"-Q"&amp;ROUNDUP(MONTH(D925)/3,0))</f>
        <v/>
      </c>
    </row>
    <row r="926">
      <c r="L926" s="5">
        <f>IF(D926="","",YEAR(D926)&amp;"-Q"&amp;ROUNDUP(MONTH(D926)/3,0))</f>
        <v/>
      </c>
    </row>
    <row r="927">
      <c r="L927" s="5">
        <f>IF(D927="","",YEAR(D927)&amp;"-Q"&amp;ROUNDUP(MONTH(D927)/3,0))</f>
        <v/>
      </c>
    </row>
    <row r="928">
      <c r="L928" s="5">
        <f>IF(D928="","",YEAR(D928)&amp;"-Q"&amp;ROUNDUP(MONTH(D928)/3,0))</f>
        <v/>
      </c>
    </row>
    <row r="929">
      <c r="L929" s="5">
        <f>IF(D929="","",YEAR(D929)&amp;"-Q"&amp;ROUNDUP(MONTH(D929)/3,0))</f>
        <v/>
      </c>
    </row>
    <row r="930">
      <c r="L930" s="5">
        <f>IF(D930="","",YEAR(D930)&amp;"-Q"&amp;ROUNDUP(MONTH(D930)/3,0))</f>
        <v/>
      </c>
    </row>
    <row r="931">
      <c r="L931" s="5">
        <f>IF(D931="","",YEAR(D931)&amp;"-Q"&amp;ROUNDUP(MONTH(D931)/3,0))</f>
        <v/>
      </c>
    </row>
    <row r="932">
      <c r="L932" s="5">
        <f>IF(D932="","",YEAR(D932)&amp;"-Q"&amp;ROUNDUP(MONTH(D932)/3,0))</f>
        <v/>
      </c>
    </row>
    <row r="933">
      <c r="L933" s="5">
        <f>IF(D933="","",YEAR(D933)&amp;"-Q"&amp;ROUNDUP(MONTH(D933)/3,0))</f>
        <v/>
      </c>
    </row>
    <row r="934">
      <c r="L934" s="5">
        <f>IF(D934="","",YEAR(D934)&amp;"-Q"&amp;ROUNDUP(MONTH(D934)/3,0))</f>
        <v/>
      </c>
    </row>
    <row r="935">
      <c r="L935" s="5">
        <f>IF(D935="","",YEAR(D935)&amp;"-Q"&amp;ROUNDUP(MONTH(D935)/3,0))</f>
        <v/>
      </c>
    </row>
    <row r="936">
      <c r="L936" s="5">
        <f>IF(D936="","",YEAR(D936)&amp;"-Q"&amp;ROUNDUP(MONTH(D936)/3,0))</f>
        <v/>
      </c>
    </row>
    <row r="937">
      <c r="L937" s="5">
        <f>IF(D937="","",YEAR(D937)&amp;"-Q"&amp;ROUNDUP(MONTH(D937)/3,0))</f>
        <v/>
      </c>
    </row>
    <row r="938">
      <c r="L938" s="5">
        <f>IF(D938="","",YEAR(D938)&amp;"-Q"&amp;ROUNDUP(MONTH(D938)/3,0))</f>
        <v/>
      </c>
    </row>
    <row r="939">
      <c r="L939" s="5">
        <f>IF(D939="","",YEAR(D939)&amp;"-Q"&amp;ROUNDUP(MONTH(D939)/3,0))</f>
        <v/>
      </c>
    </row>
    <row r="940">
      <c r="L940" s="5">
        <f>IF(D940="","",YEAR(D940)&amp;"-Q"&amp;ROUNDUP(MONTH(D940)/3,0))</f>
        <v/>
      </c>
    </row>
    <row r="941">
      <c r="L941" s="5">
        <f>IF(D941="","",YEAR(D941)&amp;"-Q"&amp;ROUNDUP(MONTH(D941)/3,0))</f>
        <v/>
      </c>
    </row>
    <row r="942">
      <c r="L942" s="5">
        <f>IF(D942="","",YEAR(D942)&amp;"-Q"&amp;ROUNDUP(MONTH(D942)/3,0))</f>
        <v/>
      </c>
    </row>
    <row r="943">
      <c r="L943" s="5">
        <f>IF(D943="","",YEAR(D943)&amp;"-Q"&amp;ROUNDUP(MONTH(D943)/3,0))</f>
        <v/>
      </c>
    </row>
    <row r="944">
      <c r="L944" s="5">
        <f>IF(D944="","",YEAR(D944)&amp;"-Q"&amp;ROUNDUP(MONTH(D944)/3,0))</f>
        <v/>
      </c>
    </row>
    <row r="945">
      <c r="L945" s="5">
        <f>IF(D945="","",YEAR(D945)&amp;"-Q"&amp;ROUNDUP(MONTH(D945)/3,0))</f>
        <v/>
      </c>
    </row>
    <row r="946">
      <c r="L946" s="5">
        <f>IF(D946="","",YEAR(D946)&amp;"-Q"&amp;ROUNDUP(MONTH(D946)/3,0))</f>
        <v/>
      </c>
    </row>
    <row r="947">
      <c r="L947" s="5">
        <f>IF(D947="","",YEAR(D947)&amp;"-Q"&amp;ROUNDUP(MONTH(D947)/3,0))</f>
        <v/>
      </c>
    </row>
    <row r="948">
      <c r="L948" s="5">
        <f>IF(D948="","",YEAR(D948)&amp;"-Q"&amp;ROUNDUP(MONTH(D948)/3,0))</f>
        <v/>
      </c>
    </row>
    <row r="949">
      <c r="L949" s="5">
        <f>IF(D949="","",YEAR(D949)&amp;"-Q"&amp;ROUNDUP(MONTH(D949)/3,0))</f>
        <v/>
      </c>
    </row>
    <row r="950">
      <c r="L950" s="5">
        <f>IF(D950="","",YEAR(D950)&amp;"-Q"&amp;ROUNDUP(MONTH(D950)/3,0))</f>
        <v/>
      </c>
    </row>
    <row r="951">
      <c r="L951" s="5">
        <f>IF(D951="","",YEAR(D951)&amp;"-Q"&amp;ROUNDUP(MONTH(D951)/3,0))</f>
        <v/>
      </c>
    </row>
    <row r="952">
      <c r="L952" s="5">
        <f>IF(D952="","",YEAR(D952)&amp;"-Q"&amp;ROUNDUP(MONTH(D952)/3,0))</f>
        <v/>
      </c>
    </row>
    <row r="953">
      <c r="L953" s="5">
        <f>IF(D953="","",YEAR(D953)&amp;"-Q"&amp;ROUNDUP(MONTH(D953)/3,0))</f>
        <v/>
      </c>
    </row>
    <row r="954">
      <c r="L954" s="5">
        <f>IF(D954="","",YEAR(D954)&amp;"-Q"&amp;ROUNDUP(MONTH(D954)/3,0))</f>
        <v/>
      </c>
    </row>
    <row r="955">
      <c r="L955" s="5">
        <f>IF(D955="","",YEAR(D955)&amp;"-Q"&amp;ROUNDUP(MONTH(D955)/3,0))</f>
        <v/>
      </c>
    </row>
    <row r="956">
      <c r="L956" s="5">
        <f>IF(D956="","",YEAR(D956)&amp;"-Q"&amp;ROUNDUP(MONTH(D956)/3,0))</f>
        <v/>
      </c>
    </row>
    <row r="957">
      <c r="L957" s="5">
        <f>IF(D957="","",YEAR(D957)&amp;"-Q"&amp;ROUNDUP(MONTH(D957)/3,0))</f>
        <v/>
      </c>
    </row>
    <row r="958">
      <c r="L958" s="5">
        <f>IF(D958="","",YEAR(D958)&amp;"-Q"&amp;ROUNDUP(MONTH(D958)/3,0))</f>
        <v/>
      </c>
    </row>
    <row r="959">
      <c r="L959" s="5">
        <f>IF(D959="","",YEAR(D959)&amp;"-Q"&amp;ROUNDUP(MONTH(D959)/3,0))</f>
        <v/>
      </c>
    </row>
    <row r="960">
      <c r="L960" s="5">
        <f>IF(D960="","",YEAR(D960)&amp;"-Q"&amp;ROUNDUP(MONTH(D960)/3,0))</f>
        <v/>
      </c>
    </row>
    <row r="961">
      <c r="L961" s="5">
        <f>IF(D961="","",YEAR(D961)&amp;"-Q"&amp;ROUNDUP(MONTH(D961)/3,0))</f>
        <v/>
      </c>
    </row>
    <row r="962">
      <c r="L962" s="5">
        <f>IF(D962="","",YEAR(D962)&amp;"-Q"&amp;ROUNDUP(MONTH(D962)/3,0))</f>
        <v/>
      </c>
    </row>
    <row r="963">
      <c r="L963" s="5">
        <f>IF(D963="","",YEAR(D963)&amp;"-Q"&amp;ROUNDUP(MONTH(D963)/3,0))</f>
        <v/>
      </c>
    </row>
    <row r="964">
      <c r="L964" s="5">
        <f>IF(D964="","",YEAR(D964)&amp;"-Q"&amp;ROUNDUP(MONTH(D964)/3,0))</f>
        <v/>
      </c>
    </row>
    <row r="965">
      <c r="L965" s="5">
        <f>IF(D965="","",YEAR(D965)&amp;"-Q"&amp;ROUNDUP(MONTH(D965)/3,0))</f>
        <v/>
      </c>
    </row>
    <row r="966">
      <c r="L966" s="5">
        <f>IF(D966="","",YEAR(D966)&amp;"-Q"&amp;ROUNDUP(MONTH(D966)/3,0))</f>
        <v/>
      </c>
    </row>
    <row r="967">
      <c r="L967" s="5">
        <f>IF(D967="","",YEAR(D967)&amp;"-Q"&amp;ROUNDUP(MONTH(D967)/3,0))</f>
        <v/>
      </c>
    </row>
    <row r="968">
      <c r="L968" s="5">
        <f>IF(D968="","",YEAR(D968)&amp;"-Q"&amp;ROUNDUP(MONTH(D968)/3,0))</f>
        <v/>
      </c>
    </row>
    <row r="969">
      <c r="L969" s="5">
        <f>IF(D969="","",YEAR(D969)&amp;"-Q"&amp;ROUNDUP(MONTH(D969)/3,0))</f>
        <v/>
      </c>
    </row>
    <row r="970">
      <c r="L970" s="5">
        <f>IF(D970="","",YEAR(D970)&amp;"-Q"&amp;ROUNDUP(MONTH(D970)/3,0))</f>
        <v/>
      </c>
    </row>
    <row r="971">
      <c r="L971" s="5">
        <f>IF(D971="","",YEAR(D971)&amp;"-Q"&amp;ROUNDUP(MONTH(D971)/3,0))</f>
        <v/>
      </c>
    </row>
    <row r="972">
      <c r="L972" s="5">
        <f>IF(D972="","",YEAR(D972)&amp;"-Q"&amp;ROUNDUP(MONTH(D972)/3,0))</f>
        <v/>
      </c>
    </row>
    <row r="973">
      <c r="L973" s="5">
        <f>IF(D973="","",YEAR(D973)&amp;"-Q"&amp;ROUNDUP(MONTH(D973)/3,0))</f>
        <v/>
      </c>
    </row>
    <row r="974">
      <c r="L974" s="5">
        <f>IF(D974="","",YEAR(D974)&amp;"-Q"&amp;ROUNDUP(MONTH(D974)/3,0))</f>
        <v/>
      </c>
    </row>
    <row r="975">
      <c r="L975" s="5">
        <f>IF(D975="","",YEAR(D975)&amp;"-Q"&amp;ROUNDUP(MONTH(D975)/3,0))</f>
        <v/>
      </c>
    </row>
    <row r="976">
      <c r="L976" s="5">
        <f>IF(D976="","",YEAR(D976)&amp;"-Q"&amp;ROUNDUP(MONTH(D976)/3,0))</f>
        <v/>
      </c>
    </row>
    <row r="977">
      <c r="L977" s="5">
        <f>IF(D977="","",YEAR(D977)&amp;"-Q"&amp;ROUNDUP(MONTH(D977)/3,0))</f>
        <v/>
      </c>
    </row>
    <row r="978">
      <c r="L978" s="5">
        <f>IF(D978="","",YEAR(D978)&amp;"-Q"&amp;ROUNDUP(MONTH(D978)/3,0))</f>
        <v/>
      </c>
    </row>
    <row r="979">
      <c r="L979" s="5">
        <f>IF(D979="","",YEAR(D979)&amp;"-Q"&amp;ROUNDUP(MONTH(D979)/3,0))</f>
        <v/>
      </c>
    </row>
    <row r="980">
      <c r="L980" s="5">
        <f>IF(D980="","",YEAR(D980)&amp;"-Q"&amp;ROUNDUP(MONTH(D980)/3,0))</f>
        <v/>
      </c>
    </row>
    <row r="981">
      <c r="L981" s="5">
        <f>IF(D981="","",YEAR(D981)&amp;"-Q"&amp;ROUNDUP(MONTH(D981)/3,0))</f>
        <v/>
      </c>
    </row>
    <row r="982">
      <c r="L982" s="5">
        <f>IF(D982="","",YEAR(D982)&amp;"-Q"&amp;ROUNDUP(MONTH(D982)/3,0))</f>
        <v/>
      </c>
    </row>
    <row r="983">
      <c r="L983" s="5">
        <f>IF(D983="","",YEAR(D983)&amp;"-Q"&amp;ROUNDUP(MONTH(D983)/3,0))</f>
        <v/>
      </c>
    </row>
    <row r="984">
      <c r="L984" s="5">
        <f>IF(D984="","",YEAR(D984)&amp;"-Q"&amp;ROUNDUP(MONTH(D984)/3,0))</f>
        <v/>
      </c>
    </row>
    <row r="985">
      <c r="L985" s="5">
        <f>IF(D985="","",YEAR(D985)&amp;"-Q"&amp;ROUNDUP(MONTH(D985)/3,0))</f>
        <v/>
      </c>
    </row>
    <row r="986">
      <c r="L986" s="5">
        <f>IF(D986="","",YEAR(D986)&amp;"-Q"&amp;ROUNDUP(MONTH(D986)/3,0))</f>
        <v/>
      </c>
    </row>
    <row r="987">
      <c r="L987" s="5">
        <f>IF(D987="","",YEAR(D987)&amp;"-Q"&amp;ROUNDUP(MONTH(D987)/3,0))</f>
        <v/>
      </c>
    </row>
    <row r="988">
      <c r="L988" s="5">
        <f>IF(D988="","",YEAR(D988)&amp;"-Q"&amp;ROUNDUP(MONTH(D988)/3,0))</f>
        <v/>
      </c>
    </row>
    <row r="989">
      <c r="L989" s="5">
        <f>IF(D989="","",YEAR(D989)&amp;"-Q"&amp;ROUNDUP(MONTH(D989)/3,0))</f>
        <v/>
      </c>
    </row>
    <row r="990">
      <c r="L990" s="5">
        <f>IF(D990="","",YEAR(D990)&amp;"-Q"&amp;ROUNDUP(MONTH(D990)/3,0))</f>
        <v/>
      </c>
    </row>
    <row r="991">
      <c r="L991" s="5">
        <f>IF(D991="","",YEAR(D991)&amp;"-Q"&amp;ROUNDUP(MONTH(D991)/3,0))</f>
        <v/>
      </c>
    </row>
    <row r="992">
      <c r="L992" s="5">
        <f>IF(D992="","",YEAR(D992)&amp;"-Q"&amp;ROUNDUP(MONTH(D992)/3,0))</f>
        <v/>
      </c>
    </row>
    <row r="993">
      <c r="L993" s="5">
        <f>IF(D993="","",YEAR(D993)&amp;"-Q"&amp;ROUNDUP(MONTH(D993)/3,0))</f>
        <v/>
      </c>
    </row>
    <row r="994">
      <c r="L994" s="5">
        <f>IF(D994="","",YEAR(D994)&amp;"-Q"&amp;ROUNDUP(MONTH(D994)/3,0))</f>
        <v/>
      </c>
    </row>
    <row r="995">
      <c r="L995" s="5">
        <f>IF(D995="","",YEAR(D995)&amp;"-Q"&amp;ROUNDUP(MONTH(D995)/3,0))</f>
        <v/>
      </c>
    </row>
    <row r="996">
      <c r="L996" s="5">
        <f>IF(D996="","",YEAR(D996)&amp;"-Q"&amp;ROUNDUP(MONTH(D996)/3,0))</f>
        <v/>
      </c>
    </row>
    <row r="997">
      <c r="L997" s="5">
        <f>IF(D997="","",YEAR(D997)&amp;"-Q"&amp;ROUNDUP(MONTH(D997)/3,0))</f>
        <v/>
      </c>
    </row>
    <row r="998">
      <c r="L998" s="5">
        <f>IF(D998="","",YEAR(D998)&amp;"-Q"&amp;ROUNDUP(MONTH(D998)/3,0))</f>
        <v/>
      </c>
    </row>
    <row r="999">
      <c r="L999" s="5">
        <f>IF(D999="","",YEAR(D999)&amp;"-Q"&amp;ROUNDUP(MONTH(D999)/3,0))</f>
        <v/>
      </c>
    </row>
    <row r="1000">
      <c r="L1000" s="5">
        <f>IF(D1000="","",YEAR(D1000)&amp;"-Q"&amp;ROUNDUP(MONTH(D1000)/3,0))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1" customWidth="1" min="3" max="3"/>
    <col width="18" customWidth="1" min="4" max="4"/>
    <col width="18" customWidth="1" min="5" max="5"/>
    <col width="11" customWidth="1" min="6" max="6"/>
    <col width="13" customWidth="1" min="7" max="7"/>
    <col width="11" customWidth="1" min="8" max="8"/>
    <col width="11" customWidth="1" min="9" max="9"/>
    <col width="30" customWidth="1" min="10" max="10"/>
    <col width="16" customWidth="1" min="11" max="11"/>
    <col width="9" customWidth="1" min="12" max="12"/>
  </cols>
  <sheetData>
    <row r="1">
      <c r="A1" s="2" t="inlineStr">
        <is>
          <t>Sector</t>
        </is>
      </c>
      <c r="B1" s="2" t="inlineStr">
        <is>
          <t>Target Country</t>
        </is>
      </c>
      <c r="C1" s="2" t="inlineStr">
        <is>
          <t>Date</t>
        </is>
      </c>
      <c r="D1" s="2" t="inlineStr">
        <is>
          <t>Target</t>
        </is>
      </c>
      <c r="E1" s="2" t="inlineStr">
        <is>
          <t>Lead Investor(s)</t>
        </is>
      </c>
      <c r="F1" s="2" t="inlineStr">
        <is>
          <t>Amount ($M)</t>
        </is>
      </c>
      <c r="G1" s="2" t="inlineStr">
        <is>
          <t>Valuation ($M)</t>
        </is>
      </c>
      <c r="H1" s="2" t="inlineStr">
        <is>
          <t>EV / Revenue</t>
        </is>
      </c>
      <c r="I1" s="2" t="inlineStr">
        <is>
          <t>EV / EBITDA</t>
        </is>
      </c>
      <c r="J1" s="2" t="inlineStr">
        <is>
          <t>Target Description</t>
        </is>
      </c>
      <c r="K1" s="2" t="inlineStr">
        <is>
          <t>Link / Press Release</t>
        </is>
      </c>
      <c r="L1" s="3" t="inlineStr">
        <is>
          <t>Quarter</t>
        </is>
      </c>
    </row>
    <row r="2">
      <c r="A2" t="inlineStr">
        <is>
          <t>Asset &amp; Wealth Tech</t>
        </is>
      </c>
      <c r="B2" t="inlineStr">
        <is>
          <t>Denmark</t>
        </is>
      </c>
      <c r="C2" s="4" t="n">
        <v>46192</v>
      </c>
      <c r="D2" t="inlineStr">
        <is>
          <t>Festina Finance</t>
        </is>
      </c>
      <c r="E2" t="inlineStr">
        <is>
          <t>Birchway Capital</t>
        </is>
      </c>
      <c r="F2" t="n">
        <v>27</v>
      </c>
      <c r="G2" t="n">
        <v>216</v>
      </c>
      <c r="H2" t="inlineStr"/>
      <c r="I2" t="inlineStr"/>
      <c r="J2" t="inlineStr">
        <is>
          <t>Pensions/life system-of-record</t>
        </is>
      </c>
      <c r="K2" t="inlineStr">
        <is>
          <t>link</t>
        </is>
      </c>
      <c r="L2" s="5">
        <f>IF(C2="","",YEAR(C2)&amp;"-Q"&amp;ROUNDUP(MONTH(C2)/3,0))</f>
        <v/>
      </c>
    </row>
    <row r="3">
      <c r="A3" t="inlineStr">
        <is>
          <t>Banking &amp; Lending Tech</t>
        </is>
      </c>
      <c r="B3" t="inlineStr">
        <is>
          <t>Saudi Arabia</t>
        </is>
      </c>
      <c r="C3" s="4" t="n">
        <v>46187</v>
      </c>
      <c r="D3" t="inlineStr">
        <is>
          <t>D360 Bank</t>
        </is>
      </c>
      <c r="E3" t="inlineStr">
        <is>
          <t>PIF / Derayah</t>
        </is>
      </c>
      <c r="F3" t="n">
        <v>400</v>
      </c>
      <c r="G3" t="n">
        <v>1600</v>
      </c>
      <c r="H3" t="inlineStr"/>
      <c r="I3" t="inlineStr"/>
      <c r="J3" t="inlineStr">
        <is>
          <t>Digital bank</t>
        </is>
      </c>
      <c r="K3" t="inlineStr">
        <is>
          <t>link</t>
        </is>
      </c>
      <c r="L3" s="5">
        <f>IF(C3="","",YEAR(C3)&amp;"-Q"&amp;ROUNDUP(MONTH(C3)/3,0))</f>
        <v/>
      </c>
    </row>
    <row r="4">
      <c r="A4" t="inlineStr">
        <is>
          <t>Banking &amp; Lending Tech</t>
        </is>
      </c>
      <c r="B4" t="inlineStr">
        <is>
          <t>US</t>
        </is>
      </c>
      <c r="C4" s="4" t="n">
        <v>46190</v>
      </c>
      <c r="D4" t="inlineStr">
        <is>
          <t>Karta</t>
        </is>
      </c>
      <c r="E4" t="inlineStr">
        <is>
          <t>Galaxy / CIM</t>
        </is>
      </c>
      <c r="F4" t="n">
        <v>15</v>
      </c>
      <c r="G4" t="inlineStr"/>
      <c r="H4" t="inlineStr"/>
      <c r="I4" t="inlineStr"/>
      <c r="J4" t="inlineStr">
        <is>
          <t>Travel credit cards (equity only)</t>
        </is>
      </c>
      <c r="K4" t="inlineStr">
        <is>
          <t>link</t>
        </is>
      </c>
      <c r="L4" s="5">
        <f>IF(C4="","",YEAR(C4)&amp;"-Q"&amp;ROUNDUP(MONTH(C4)/3,0))</f>
        <v/>
      </c>
    </row>
    <row r="5">
      <c r="A5" t="inlineStr">
        <is>
          <t>Capital Markets Tech</t>
        </is>
      </c>
      <c r="B5" t="inlineStr">
        <is>
          <t>US</t>
        </is>
      </c>
      <c r="C5" s="4" t="n">
        <v>46189</v>
      </c>
      <c r="D5" t="inlineStr">
        <is>
          <t>Chronograph</t>
        </is>
      </c>
      <c r="E5" t="inlineStr">
        <is>
          <t>Sixth Street</t>
        </is>
      </c>
      <c r="F5" t="n">
        <v>140</v>
      </c>
      <c r="G5" t="inlineStr"/>
      <c r="H5" t="inlineStr"/>
      <c r="I5" t="inlineStr"/>
      <c r="J5" t="inlineStr">
        <is>
          <t>Private-capital portfolio software</t>
        </is>
      </c>
      <c r="K5" t="inlineStr">
        <is>
          <t>link</t>
        </is>
      </c>
      <c r="L5" s="5">
        <f>IF(C5="","",YEAR(C5)&amp;"-Q"&amp;ROUNDUP(MONTH(C5)/3,0))</f>
        <v/>
      </c>
    </row>
    <row r="6">
      <c r="A6" t="inlineStr">
        <is>
          <t>Corporate Financial Function</t>
        </is>
      </c>
      <c r="B6" t="inlineStr">
        <is>
          <t>Singapore</t>
        </is>
      </c>
      <c r="C6" s="4" t="n">
        <v>46190</v>
      </c>
      <c r="D6" t="inlineStr">
        <is>
          <t>BIPO</t>
        </is>
      </c>
      <c r="E6" t="inlineStr">
        <is>
          <t>Apis Partners</t>
        </is>
      </c>
      <c r="F6" t="n">
        <v>50</v>
      </c>
      <c r="G6" t="inlineStr"/>
      <c r="H6" t="inlineStr"/>
      <c r="I6" t="inlineStr"/>
      <c r="J6" t="inlineStr">
        <is>
          <t>Global payroll / workforce finance</t>
        </is>
      </c>
      <c r="K6" t="inlineStr">
        <is>
          <t>link</t>
        </is>
      </c>
      <c r="L6" s="5">
        <f>IF(C6="","",YEAR(C6)&amp;"-Q"&amp;ROUNDUP(MONTH(C6)/3,0))</f>
        <v/>
      </c>
    </row>
    <row r="7">
      <c r="A7" t="inlineStr">
        <is>
          <t>Financial Info &amp; Analytics</t>
        </is>
      </c>
      <c r="B7" t="inlineStr">
        <is>
          <t>US</t>
        </is>
      </c>
      <c r="C7" s="4" t="n">
        <v>46190</v>
      </c>
      <c r="D7" t="inlineStr">
        <is>
          <t>Behavox</t>
        </is>
      </c>
      <c r="E7" t="inlineStr">
        <is>
          <t>HPS</t>
        </is>
      </c>
      <c r="F7" t="n">
        <v>175</v>
      </c>
      <c r="G7" t="inlineStr"/>
      <c r="H7" t="inlineStr"/>
      <c r="I7" t="inlineStr"/>
      <c r="J7" t="inlineStr">
        <is>
          <t>AI compliance &amp; surveillance</t>
        </is>
      </c>
      <c r="K7" t="inlineStr">
        <is>
          <t>link</t>
        </is>
      </c>
      <c r="L7" s="5">
        <f>IF(C7="","",YEAR(C7)&amp;"-Q"&amp;ROUNDUP(MONTH(C7)/3,0))</f>
        <v/>
      </c>
    </row>
    <row r="8">
      <c r="A8" t="inlineStr">
        <is>
          <t>InsurTech</t>
        </is>
      </c>
      <c r="B8" t="inlineStr">
        <is>
          <t>US</t>
        </is>
      </c>
      <c r="C8" s="4" t="n">
        <v>46191</v>
      </c>
      <c r="D8" t="inlineStr">
        <is>
          <t>Connie Health</t>
        </is>
      </c>
      <c r="E8" t="inlineStr">
        <is>
          <t>HealthQuest</t>
        </is>
      </c>
      <c r="F8" t="n">
        <v>40</v>
      </c>
      <c r="G8" t="inlineStr"/>
      <c r="H8" t="inlineStr"/>
      <c r="I8" t="inlineStr"/>
      <c r="J8" t="inlineStr">
        <is>
          <t>Medicare navigation</t>
        </is>
      </c>
      <c r="K8" t="inlineStr">
        <is>
          <t>link</t>
        </is>
      </c>
      <c r="L8" s="5">
        <f>IF(C8="","",YEAR(C8)&amp;"-Q"&amp;ROUNDUP(MONTH(C8)/3,0))</f>
        <v/>
      </c>
    </row>
    <row r="9">
      <c r="A9" t="inlineStr">
        <is>
          <t>Payments</t>
        </is>
      </c>
      <c r="B9" t="inlineStr">
        <is>
          <t>US</t>
        </is>
      </c>
      <c r="C9" s="4" t="n">
        <v>46188</v>
      </c>
      <c r="D9" t="inlineStr">
        <is>
          <t>Interchecks</t>
        </is>
      </c>
      <c r="E9" t="inlineStr">
        <is>
          <t>Bettor Capital</t>
        </is>
      </c>
      <c r="F9" t="n">
        <v>50</v>
      </c>
      <c r="G9" t="inlineStr"/>
      <c r="H9" t="inlineStr"/>
      <c r="I9" t="inlineStr"/>
      <c r="J9" t="inlineStr">
        <is>
          <t>Instant payments infra</t>
        </is>
      </c>
      <c r="K9" t="inlineStr">
        <is>
          <t>link</t>
        </is>
      </c>
      <c r="L9" s="5">
        <f>IF(C9="","",YEAR(C9)&amp;"-Q"&amp;ROUNDUP(MONTH(C9)/3,0))</f>
        <v/>
      </c>
    </row>
    <row r="10">
      <c r="A10" t="inlineStr">
        <is>
          <t>Payments</t>
        </is>
      </c>
      <c r="B10" t="inlineStr">
        <is>
          <t>US</t>
        </is>
      </c>
      <c r="C10" s="4" t="n">
        <v>46190</v>
      </c>
      <c r="D10" t="inlineStr">
        <is>
          <t>Trace Finance</t>
        </is>
      </c>
      <c r="E10" t="inlineStr">
        <is>
          <t>CoinFund</t>
        </is>
      </c>
      <c r="F10" t="n">
        <v>32</v>
      </c>
      <c r="G10" t="inlineStr"/>
      <c r="H10" t="inlineStr"/>
      <c r="I10" t="inlineStr"/>
      <c r="J10" t="inlineStr">
        <is>
          <t>Stablecoin settlement</t>
        </is>
      </c>
      <c r="K10" t="inlineStr">
        <is>
          <t>link</t>
        </is>
      </c>
      <c r="L10" s="5">
        <f>IF(C10="","",YEAR(C10)&amp;"-Q"&amp;ROUNDUP(MONTH(C10)/3,0))</f>
        <v/>
      </c>
    </row>
    <row r="11">
      <c r="L11" s="5">
        <f>IF(C11="","",YEAR(C11)&amp;"-Q"&amp;ROUNDUP(MONTH(C11)/3,0))</f>
        <v/>
      </c>
    </row>
    <row r="12">
      <c r="L12" s="5">
        <f>IF(C12="","",YEAR(C12)&amp;"-Q"&amp;ROUNDUP(MONTH(C12)/3,0))</f>
        <v/>
      </c>
    </row>
    <row r="13">
      <c r="L13" s="5">
        <f>IF(C13="","",YEAR(C13)&amp;"-Q"&amp;ROUNDUP(MONTH(C13)/3,0))</f>
        <v/>
      </c>
    </row>
    <row r="14">
      <c r="L14" s="5">
        <f>IF(C14="","",YEAR(C14)&amp;"-Q"&amp;ROUNDUP(MONTH(C14)/3,0))</f>
        <v/>
      </c>
    </row>
    <row r="15">
      <c r="L15" s="5">
        <f>IF(C15="","",YEAR(C15)&amp;"-Q"&amp;ROUNDUP(MONTH(C15)/3,0))</f>
        <v/>
      </c>
    </row>
    <row r="16">
      <c r="L16" s="5">
        <f>IF(C16="","",YEAR(C16)&amp;"-Q"&amp;ROUNDUP(MONTH(C16)/3,0))</f>
        <v/>
      </c>
    </row>
    <row r="17">
      <c r="L17" s="5">
        <f>IF(C17="","",YEAR(C17)&amp;"-Q"&amp;ROUNDUP(MONTH(C17)/3,0))</f>
        <v/>
      </c>
    </row>
    <row r="18">
      <c r="L18" s="5">
        <f>IF(C18="","",YEAR(C18)&amp;"-Q"&amp;ROUNDUP(MONTH(C18)/3,0))</f>
        <v/>
      </c>
    </row>
    <row r="19">
      <c r="L19" s="5">
        <f>IF(C19="","",YEAR(C19)&amp;"-Q"&amp;ROUNDUP(MONTH(C19)/3,0))</f>
        <v/>
      </c>
    </row>
    <row r="20">
      <c r="L20" s="5">
        <f>IF(C20="","",YEAR(C20)&amp;"-Q"&amp;ROUNDUP(MONTH(C20)/3,0))</f>
        <v/>
      </c>
    </row>
    <row r="21">
      <c r="L21" s="5">
        <f>IF(C21="","",YEAR(C21)&amp;"-Q"&amp;ROUNDUP(MONTH(C21)/3,0))</f>
        <v/>
      </c>
    </row>
    <row r="22">
      <c r="L22" s="5">
        <f>IF(C22="","",YEAR(C22)&amp;"-Q"&amp;ROUNDUP(MONTH(C22)/3,0))</f>
        <v/>
      </c>
    </row>
    <row r="23">
      <c r="L23" s="5">
        <f>IF(C23="","",YEAR(C23)&amp;"-Q"&amp;ROUNDUP(MONTH(C23)/3,0))</f>
        <v/>
      </c>
    </row>
    <row r="24">
      <c r="L24" s="5">
        <f>IF(C24="","",YEAR(C24)&amp;"-Q"&amp;ROUNDUP(MONTH(C24)/3,0))</f>
        <v/>
      </c>
    </row>
    <row r="25">
      <c r="L25" s="5">
        <f>IF(C25="","",YEAR(C25)&amp;"-Q"&amp;ROUNDUP(MONTH(C25)/3,0))</f>
        <v/>
      </c>
    </row>
    <row r="26">
      <c r="L26" s="5">
        <f>IF(C26="","",YEAR(C26)&amp;"-Q"&amp;ROUNDUP(MONTH(C26)/3,0))</f>
        <v/>
      </c>
    </row>
    <row r="27">
      <c r="L27" s="5">
        <f>IF(C27="","",YEAR(C27)&amp;"-Q"&amp;ROUNDUP(MONTH(C27)/3,0))</f>
        <v/>
      </c>
    </row>
    <row r="28">
      <c r="L28" s="5">
        <f>IF(C28="","",YEAR(C28)&amp;"-Q"&amp;ROUNDUP(MONTH(C28)/3,0))</f>
        <v/>
      </c>
    </row>
    <row r="29">
      <c r="L29" s="5">
        <f>IF(C29="","",YEAR(C29)&amp;"-Q"&amp;ROUNDUP(MONTH(C29)/3,0))</f>
        <v/>
      </c>
    </row>
    <row r="30">
      <c r="L30" s="5">
        <f>IF(C30="","",YEAR(C30)&amp;"-Q"&amp;ROUNDUP(MONTH(C30)/3,0))</f>
        <v/>
      </c>
    </row>
    <row r="31">
      <c r="L31" s="5">
        <f>IF(C31="","",YEAR(C31)&amp;"-Q"&amp;ROUNDUP(MONTH(C31)/3,0))</f>
        <v/>
      </c>
    </row>
    <row r="32">
      <c r="L32" s="5">
        <f>IF(C32="","",YEAR(C32)&amp;"-Q"&amp;ROUNDUP(MONTH(C32)/3,0))</f>
        <v/>
      </c>
    </row>
    <row r="33">
      <c r="L33" s="5">
        <f>IF(C33="","",YEAR(C33)&amp;"-Q"&amp;ROUNDUP(MONTH(C33)/3,0))</f>
        <v/>
      </c>
    </row>
    <row r="34">
      <c r="L34" s="5">
        <f>IF(C34="","",YEAR(C34)&amp;"-Q"&amp;ROUNDUP(MONTH(C34)/3,0))</f>
        <v/>
      </c>
    </row>
    <row r="35">
      <c r="L35" s="5">
        <f>IF(C35="","",YEAR(C35)&amp;"-Q"&amp;ROUNDUP(MONTH(C35)/3,0))</f>
        <v/>
      </c>
    </row>
    <row r="36">
      <c r="L36" s="5">
        <f>IF(C36="","",YEAR(C36)&amp;"-Q"&amp;ROUNDUP(MONTH(C36)/3,0))</f>
        <v/>
      </c>
    </row>
    <row r="37">
      <c r="L37" s="5">
        <f>IF(C37="","",YEAR(C37)&amp;"-Q"&amp;ROUNDUP(MONTH(C37)/3,0))</f>
        <v/>
      </c>
    </row>
    <row r="38">
      <c r="L38" s="5">
        <f>IF(C38="","",YEAR(C38)&amp;"-Q"&amp;ROUNDUP(MONTH(C38)/3,0))</f>
        <v/>
      </c>
    </row>
    <row r="39">
      <c r="L39" s="5">
        <f>IF(C39="","",YEAR(C39)&amp;"-Q"&amp;ROUNDUP(MONTH(C39)/3,0))</f>
        <v/>
      </c>
    </row>
    <row r="40">
      <c r="L40" s="5">
        <f>IF(C40="","",YEAR(C40)&amp;"-Q"&amp;ROUNDUP(MONTH(C40)/3,0))</f>
        <v/>
      </c>
    </row>
    <row r="41">
      <c r="L41" s="5">
        <f>IF(C41="","",YEAR(C41)&amp;"-Q"&amp;ROUNDUP(MONTH(C41)/3,0))</f>
        <v/>
      </c>
    </row>
    <row r="42">
      <c r="L42" s="5">
        <f>IF(C42="","",YEAR(C42)&amp;"-Q"&amp;ROUNDUP(MONTH(C42)/3,0))</f>
        <v/>
      </c>
    </row>
    <row r="43">
      <c r="L43" s="5">
        <f>IF(C43="","",YEAR(C43)&amp;"-Q"&amp;ROUNDUP(MONTH(C43)/3,0))</f>
        <v/>
      </c>
    </row>
    <row r="44">
      <c r="L44" s="5">
        <f>IF(C44="","",YEAR(C44)&amp;"-Q"&amp;ROUNDUP(MONTH(C44)/3,0))</f>
        <v/>
      </c>
    </row>
    <row r="45">
      <c r="L45" s="5">
        <f>IF(C45="","",YEAR(C45)&amp;"-Q"&amp;ROUNDUP(MONTH(C45)/3,0))</f>
        <v/>
      </c>
    </row>
    <row r="46">
      <c r="L46" s="5">
        <f>IF(C46="","",YEAR(C46)&amp;"-Q"&amp;ROUNDUP(MONTH(C46)/3,0))</f>
        <v/>
      </c>
    </row>
    <row r="47">
      <c r="L47" s="5">
        <f>IF(C47="","",YEAR(C47)&amp;"-Q"&amp;ROUNDUP(MONTH(C47)/3,0))</f>
        <v/>
      </c>
    </row>
    <row r="48">
      <c r="L48" s="5">
        <f>IF(C48="","",YEAR(C48)&amp;"-Q"&amp;ROUNDUP(MONTH(C48)/3,0))</f>
        <v/>
      </c>
    </row>
    <row r="49">
      <c r="L49" s="5">
        <f>IF(C49="","",YEAR(C49)&amp;"-Q"&amp;ROUNDUP(MONTH(C49)/3,0))</f>
        <v/>
      </c>
    </row>
    <row r="50">
      <c r="L50" s="5">
        <f>IF(C50="","",YEAR(C50)&amp;"-Q"&amp;ROUNDUP(MONTH(C50)/3,0))</f>
        <v/>
      </c>
    </row>
    <row r="51">
      <c r="L51" s="5">
        <f>IF(C51="","",YEAR(C51)&amp;"-Q"&amp;ROUNDUP(MONTH(C51)/3,0))</f>
        <v/>
      </c>
    </row>
    <row r="52">
      <c r="L52" s="5">
        <f>IF(C52="","",YEAR(C52)&amp;"-Q"&amp;ROUNDUP(MONTH(C52)/3,0))</f>
        <v/>
      </c>
    </row>
    <row r="53">
      <c r="L53" s="5">
        <f>IF(C53="","",YEAR(C53)&amp;"-Q"&amp;ROUNDUP(MONTH(C53)/3,0))</f>
        <v/>
      </c>
    </row>
    <row r="54">
      <c r="L54" s="5">
        <f>IF(C54="","",YEAR(C54)&amp;"-Q"&amp;ROUNDUP(MONTH(C54)/3,0))</f>
        <v/>
      </c>
    </row>
    <row r="55">
      <c r="L55" s="5">
        <f>IF(C55="","",YEAR(C55)&amp;"-Q"&amp;ROUNDUP(MONTH(C55)/3,0))</f>
        <v/>
      </c>
    </row>
    <row r="56">
      <c r="L56" s="5">
        <f>IF(C56="","",YEAR(C56)&amp;"-Q"&amp;ROUNDUP(MONTH(C56)/3,0))</f>
        <v/>
      </c>
    </row>
    <row r="57">
      <c r="L57" s="5">
        <f>IF(C57="","",YEAR(C57)&amp;"-Q"&amp;ROUNDUP(MONTH(C57)/3,0))</f>
        <v/>
      </c>
    </row>
    <row r="58">
      <c r="L58" s="5">
        <f>IF(C58="","",YEAR(C58)&amp;"-Q"&amp;ROUNDUP(MONTH(C58)/3,0))</f>
        <v/>
      </c>
    </row>
    <row r="59">
      <c r="L59" s="5">
        <f>IF(C59="","",YEAR(C59)&amp;"-Q"&amp;ROUNDUP(MONTH(C59)/3,0))</f>
        <v/>
      </c>
    </row>
    <row r="60">
      <c r="L60" s="5">
        <f>IF(C60="","",YEAR(C60)&amp;"-Q"&amp;ROUNDUP(MONTH(C60)/3,0))</f>
        <v/>
      </c>
    </row>
    <row r="61">
      <c r="L61" s="5">
        <f>IF(C61="","",YEAR(C61)&amp;"-Q"&amp;ROUNDUP(MONTH(C61)/3,0))</f>
        <v/>
      </c>
    </row>
    <row r="62">
      <c r="L62" s="5">
        <f>IF(C62="","",YEAR(C62)&amp;"-Q"&amp;ROUNDUP(MONTH(C62)/3,0))</f>
        <v/>
      </c>
    </row>
    <row r="63">
      <c r="L63" s="5">
        <f>IF(C63="","",YEAR(C63)&amp;"-Q"&amp;ROUNDUP(MONTH(C63)/3,0))</f>
        <v/>
      </c>
    </row>
    <row r="64">
      <c r="L64" s="5">
        <f>IF(C64="","",YEAR(C64)&amp;"-Q"&amp;ROUNDUP(MONTH(C64)/3,0))</f>
        <v/>
      </c>
    </row>
    <row r="65">
      <c r="L65" s="5">
        <f>IF(C65="","",YEAR(C65)&amp;"-Q"&amp;ROUNDUP(MONTH(C65)/3,0))</f>
        <v/>
      </c>
    </row>
    <row r="66">
      <c r="L66" s="5">
        <f>IF(C66="","",YEAR(C66)&amp;"-Q"&amp;ROUNDUP(MONTH(C66)/3,0))</f>
        <v/>
      </c>
    </row>
    <row r="67">
      <c r="L67" s="5">
        <f>IF(C67="","",YEAR(C67)&amp;"-Q"&amp;ROUNDUP(MONTH(C67)/3,0))</f>
        <v/>
      </c>
    </row>
    <row r="68">
      <c r="L68" s="5">
        <f>IF(C68="","",YEAR(C68)&amp;"-Q"&amp;ROUNDUP(MONTH(C68)/3,0))</f>
        <v/>
      </c>
    </row>
    <row r="69">
      <c r="L69" s="5">
        <f>IF(C69="","",YEAR(C69)&amp;"-Q"&amp;ROUNDUP(MONTH(C69)/3,0))</f>
        <v/>
      </c>
    </row>
    <row r="70">
      <c r="L70" s="5">
        <f>IF(C70="","",YEAR(C70)&amp;"-Q"&amp;ROUNDUP(MONTH(C70)/3,0))</f>
        <v/>
      </c>
    </row>
    <row r="71">
      <c r="L71" s="5">
        <f>IF(C71="","",YEAR(C71)&amp;"-Q"&amp;ROUNDUP(MONTH(C71)/3,0))</f>
        <v/>
      </c>
    </row>
    <row r="72">
      <c r="L72" s="5">
        <f>IF(C72="","",YEAR(C72)&amp;"-Q"&amp;ROUNDUP(MONTH(C72)/3,0))</f>
        <v/>
      </c>
    </row>
    <row r="73">
      <c r="L73" s="5">
        <f>IF(C73="","",YEAR(C73)&amp;"-Q"&amp;ROUNDUP(MONTH(C73)/3,0))</f>
        <v/>
      </c>
    </row>
    <row r="74">
      <c r="L74" s="5">
        <f>IF(C74="","",YEAR(C74)&amp;"-Q"&amp;ROUNDUP(MONTH(C74)/3,0))</f>
        <v/>
      </c>
    </row>
    <row r="75">
      <c r="L75" s="5">
        <f>IF(C75="","",YEAR(C75)&amp;"-Q"&amp;ROUNDUP(MONTH(C75)/3,0))</f>
        <v/>
      </c>
    </row>
    <row r="76">
      <c r="L76" s="5">
        <f>IF(C76="","",YEAR(C76)&amp;"-Q"&amp;ROUNDUP(MONTH(C76)/3,0))</f>
        <v/>
      </c>
    </row>
    <row r="77">
      <c r="L77" s="5">
        <f>IF(C77="","",YEAR(C77)&amp;"-Q"&amp;ROUNDUP(MONTH(C77)/3,0))</f>
        <v/>
      </c>
    </row>
    <row r="78">
      <c r="L78" s="5">
        <f>IF(C78="","",YEAR(C78)&amp;"-Q"&amp;ROUNDUP(MONTH(C78)/3,0))</f>
        <v/>
      </c>
    </row>
    <row r="79">
      <c r="L79" s="5">
        <f>IF(C79="","",YEAR(C79)&amp;"-Q"&amp;ROUNDUP(MONTH(C79)/3,0))</f>
        <v/>
      </c>
    </row>
    <row r="80">
      <c r="L80" s="5">
        <f>IF(C80="","",YEAR(C80)&amp;"-Q"&amp;ROUNDUP(MONTH(C80)/3,0))</f>
        <v/>
      </c>
    </row>
    <row r="81">
      <c r="L81" s="5">
        <f>IF(C81="","",YEAR(C81)&amp;"-Q"&amp;ROUNDUP(MONTH(C81)/3,0))</f>
        <v/>
      </c>
    </row>
    <row r="82">
      <c r="L82" s="5">
        <f>IF(C82="","",YEAR(C82)&amp;"-Q"&amp;ROUNDUP(MONTH(C82)/3,0))</f>
        <v/>
      </c>
    </row>
    <row r="83">
      <c r="L83" s="5">
        <f>IF(C83="","",YEAR(C83)&amp;"-Q"&amp;ROUNDUP(MONTH(C83)/3,0))</f>
        <v/>
      </c>
    </row>
    <row r="84">
      <c r="L84" s="5">
        <f>IF(C84="","",YEAR(C84)&amp;"-Q"&amp;ROUNDUP(MONTH(C84)/3,0))</f>
        <v/>
      </c>
    </row>
    <row r="85">
      <c r="L85" s="5">
        <f>IF(C85="","",YEAR(C85)&amp;"-Q"&amp;ROUNDUP(MONTH(C85)/3,0))</f>
        <v/>
      </c>
    </row>
    <row r="86">
      <c r="L86" s="5">
        <f>IF(C86="","",YEAR(C86)&amp;"-Q"&amp;ROUNDUP(MONTH(C86)/3,0))</f>
        <v/>
      </c>
    </row>
    <row r="87">
      <c r="L87" s="5">
        <f>IF(C87="","",YEAR(C87)&amp;"-Q"&amp;ROUNDUP(MONTH(C87)/3,0))</f>
        <v/>
      </c>
    </row>
    <row r="88">
      <c r="L88" s="5">
        <f>IF(C88="","",YEAR(C88)&amp;"-Q"&amp;ROUNDUP(MONTH(C88)/3,0))</f>
        <v/>
      </c>
    </row>
    <row r="89">
      <c r="L89" s="5">
        <f>IF(C89="","",YEAR(C89)&amp;"-Q"&amp;ROUNDUP(MONTH(C89)/3,0))</f>
        <v/>
      </c>
    </row>
    <row r="90">
      <c r="L90" s="5">
        <f>IF(C90="","",YEAR(C90)&amp;"-Q"&amp;ROUNDUP(MONTH(C90)/3,0))</f>
        <v/>
      </c>
    </row>
    <row r="91">
      <c r="L91" s="5">
        <f>IF(C91="","",YEAR(C91)&amp;"-Q"&amp;ROUNDUP(MONTH(C91)/3,0))</f>
        <v/>
      </c>
    </row>
    <row r="92">
      <c r="L92" s="5">
        <f>IF(C92="","",YEAR(C92)&amp;"-Q"&amp;ROUNDUP(MONTH(C92)/3,0))</f>
        <v/>
      </c>
    </row>
    <row r="93">
      <c r="L93" s="5">
        <f>IF(C93="","",YEAR(C93)&amp;"-Q"&amp;ROUNDUP(MONTH(C93)/3,0))</f>
        <v/>
      </c>
    </row>
    <row r="94">
      <c r="L94" s="5">
        <f>IF(C94="","",YEAR(C94)&amp;"-Q"&amp;ROUNDUP(MONTH(C94)/3,0))</f>
        <v/>
      </c>
    </row>
    <row r="95">
      <c r="L95" s="5">
        <f>IF(C95="","",YEAR(C95)&amp;"-Q"&amp;ROUNDUP(MONTH(C95)/3,0))</f>
        <v/>
      </c>
    </row>
    <row r="96">
      <c r="L96" s="5">
        <f>IF(C96="","",YEAR(C96)&amp;"-Q"&amp;ROUNDUP(MONTH(C96)/3,0))</f>
        <v/>
      </c>
    </row>
    <row r="97">
      <c r="L97" s="5">
        <f>IF(C97="","",YEAR(C97)&amp;"-Q"&amp;ROUNDUP(MONTH(C97)/3,0))</f>
        <v/>
      </c>
    </row>
    <row r="98">
      <c r="L98" s="5">
        <f>IF(C98="","",YEAR(C98)&amp;"-Q"&amp;ROUNDUP(MONTH(C98)/3,0))</f>
        <v/>
      </c>
    </row>
    <row r="99">
      <c r="L99" s="5">
        <f>IF(C99="","",YEAR(C99)&amp;"-Q"&amp;ROUNDUP(MONTH(C99)/3,0))</f>
        <v/>
      </c>
    </row>
    <row r="100">
      <c r="L100" s="5">
        <f>IF(C100="","",YEAR(C100)&amp;"-Q"&amp;ROUNDUP(MONTH(C100)/3,0))</f>
        <v/>
      </c>
    </row>
    <row r="101">
      <c r="L101" s="5">
        <f>IF(C101="","",YEAR(C101)&amp;"-Q"&amp;ROUNDUP(MONTH(C101)/3,0))</f>
        <v/>
      </c>
    </row>
    <row r="102">
      <c r="L102" s="5">
        <f>IF(C102="","",YEAR(C102)&amp;"-Q"&amp;ROUNDUP(MONTH(C102)/3,0))</f>
        <v/>
      </c>
    </row>
    <row r="103">
      <c r="L103" s="5">
        <f>IF(C103="","",YEAR(C103)&amp;"-Q"&amp;ROUNDUP(MONTH(C103)/3,0))</f>
        <v/>
      </c>
    </row>
    <row r="104">
      <c r="L104" s="5">
        <f>IF(C104="","",YEAR(C104)&amp;"-Q"&amp;ROUNDUP(MONTH(C104)/3,0))</f>
        <v/>
      </c>
    </row>
    <row r="105">
      <c r="L105" s="5">
        <f>IF(C105="","",YEAR(C105)&amp;"-Q"&amp;ROUNDUP(MONTH(C105)/3,0))</f>
        <v/>
      </c>
    </row>
    <row r="106">
      <c r="L106" s="5">
        <f>IF(C106="","",YEAR(C106)&amp;"-Q"&amp;ROUNDUP(MONTH(C106)/3,0))</f>
        <v/>
      </c>
    </row>
    <row r="107">
      <c r="L107" s="5">
        <f>IF(C107="","",YEAR(C107)&amp;"-Q"&amp;ROUNDUP(MONTH(C107)/3,0))</f>
        <v/>
      </c>
    </row>
    <row r="108">
      <c r="L108" s="5">
        <f>IF(C108="","",YEAR(C108)&amp;"-Q"&amp;ROUNDUP(MONTH(C108)/3,0))</f>
        <v/>
      </c>
    </row>
    <row r="109">
      <c r="L109" s="5">
        <f>IF(C109="","",YEAR(C109)&amp;"-Q"&amp;ROUNDUP(MONTH(C109)/3,0))</f>
        <v/>
      </c>
    </row>
    <row r="110">
      <c r="L110" s="5">
        <f>IF(C110="","",YEAR(C110)&amp;"-Q"&amp;ROUNDUP(MONTH(C110)/3,0))</f>
        <v/>
      </c>
    </row>
    <row r="111">
      <c r="L111" s="5">
        <f>IF(C111="","",YEAR(C111)&amp;"-Q"&amp;ROUNDUP(MONTH(C111)/3,0))</f>
        <v/>
      </c>
    </row>
    <row r="112">
      <c r="L112" s="5">
        <f>IF(C112="","",YEAR(C112)&amp;"-Q"&amp;ROUNDUP(MONTH(C112)/3,0))</f>
        <v/>
      </c>
    </row>
    <row r="113">
      <c r="L113" s="5">
        <f>IF(C113="","",YEAR(C113)&amp;"-Q"&amp;ROUNDUP(MONTH(C113)/3,0))</f>
        <v/>
      </c>
    </row>
    <row r="114">
      <c r="L114" s="5">
        <f>IF(C114="","",YEAR(C114)&amp;"-Q"&amp;ROUNDUP(MONTH(C114)/3,0))</f>
        <v/>
      </c>
    </row>
    <row r="115">
      <c r="L115" s="5">
        <f>IF(C115="","",YEAR(C115)&amp;"-Q"&amp;ROUNDUP(MONTH(C115)/3,0))</f>
        <v/>
      </c>
    </row>
    <row r="116">
      <c r="L116" s="5">
        <f>IF(C116="","",YEAR(C116)&amp;"-Q"&amp;ROUNDUP(MONTH(C116)/3,0))</f>
        <v/>
      </c>
    </row>
    <row r="117">
      <c r="L117" s="5">
        <f>IF(C117="","",YEAR(C117)&amp;"-Q"&amp;ROUNDUP(MONTH(C117)/3,0))</f>
        <v/>
      </c>
    </row>
    <row r="118">
      <c r="L118" s="5">
        <f>IF(C118="","",YEAR(C118)&amp;"-Q"&amp;ROUNDUP(MONTH(C118)/3,0))</f>
        <v/>
      </c>
    </row>
    <row r="119">
      <c r="L119" s="5">
        <f>IF(C119="","",YEAR(C119)&amp;"-Q"&amp;ROUNDUP(MONTH(C119)/3,0))</f>
        <v/>
      </c>
    </row>
    <row r="120">
      <c r="L120" s="5">
        <f>IF(C120="","",YEAR(C120)&amp;"-Q"&amp;ROUNDUP(MONTH(C120)/3,0))</f>
        <v/>
      </c>
    </row>
    <row r="121">
      <c r="L121" s="5">
        <f>IF(C121="","",YEAR(C121)&amp;"-Q"&amp;ROUNDUP(MONTH(C121)/3,0))</f>
        <v/>
      </c>
    </row>
    <row r="122">
      <c r="L122" s="5">
        <f>IF(C122="","",YEAR(C122)&amp;"-Q"&amp;ROUNDUP(MONTH(C122)/3,0))</f>
        <v/>
      </c>
    </row>
    <row r="123">
      <c r="L123" s="5">
        <f>IF(C123="","",YEAR(C123)&amp;"-Q"&amp;ROUNDUP(MONTH(C123)/3,0))</f>
        <v/>
      </c>
    </row>
    <row r="124">
      <c r="L124" s="5">
        <f>IF(C124="","",YEAR(C124)&amp;"-Q"&amp;ROUNDUP(MONTH(C124)/3,0))</f>
        <v/>
      </c>
    </row>
    <row r="125">
      <c r="L125" s="5">
        <f>IF(C125="","",YEAR(C125)&amp;"-Q"&amp;ROUNDUP(MONTH(C125)/3,0))</f>
        <v/>
      </c>
    </row>
    <row r="126">
      <c r="L126" s="5">
        <f>IF(C126="","",YEAR(C126)&amp;"-Q"&amp;ROUNDUP(MONTH(C126)/3,0))</f>
        <v/>
      </c>
    </row>
    <row r="127">
      <c r="L127" s="5">
        <f>IF(C127="","",YEAR(C127)&amp;"-Q"&amp;ROUNDUP(MONTH(C127)/3,0))</f>
        <v/>
      </c>
    </row>
    <row r="128">
      <c r="L128" s="5">
        <f>IF(C128="","",YEAR(C128)&amp;"-Q"&amp;ROUNDUP(MONTH(C128)/3,0))</f>
        <v/>
      </c>
    </row>
    <row r="129">
      <c r="L129" s="5">
        <f>IF(C129="","",YEAR(C129)&amp;"-Q"&amp;ROUNDUP(MONTH(C129)/3,0))</f>
        <v/>
      </c>
    </row>
    <row r="130">
      <c r="L130" s="5">
        <f>IF(C130="","",YEAR(C130)&amp;"-Q"&amp;ROUNDUP(MONTH(C130)/3,0))</f>
        <v/>
      </c>
    </row>
    <row r="131">
      <c r="L131" s="5">
        <f>IF(C131="","",YEAR(C131)&amp;"-Q"&amp;ROUNDUP(MONTH(C131)/3,0))</f>
        <v/>
      </c>
    </row>
    <row r="132">
      <c r="L132" s="5">
        <f>IF(C132="","",YEAR(C132)&amp;"-Q"&amp;ROUNDUP(MONTH(C132)/3,0))</f>
        <v/>
      </c>
    </row>
    <row r="133">
      <c r="L133" s="5">
        <f>IF(C133="","",YEAR(C133)&amp;"-Q"&amp;ROUNDUP(MONTH(C133)/3,0))</f>
        <v/>
      </c>
    </row>
    <row r="134">
      <c r="L134" s="5">
        <f>IF(C134="","",YEAR(C134)&amp;"-Q"&amp;ROUNDUP(MONTH(C134)/3,0))</f>
        <v/>
      </c>
    </row>
    <row r="135">
      <c r="L135" s="5">
        <f>IF(C135="","",YEAR(C135)&amp;"-Q"&amp;ROUNDUP(MONTH(C135)/3,0))</f>
        <v/>
      </c>
    </row>
    <row r="136">
      <c r="L136" s="5">
        <f>IF(C136="","",YEAR(C136)&amp;"-Q"&amp;ROUNDUP(MONTH(C136)/3,0))</f>
        <v/>
      </c>
    </row>
    <row r="137">
      <c r="L137" s="5">
        <f>IF(C137="","",YEAR(C137)&amp;"-Q"&amp;ROUNDUP(MONTH(C137)/3,0))</f>
        <v/>
      </c>
    </row>
    <row r="138">
      <c r="L138" s="5">
        <f>IF(C138="","",YEAR(C138)&amp;"-Q"&amp;ROUNDUP(MONTH(C138)/3,0))</f>
        <v/>
      </c>
    </row>
    <row r="139">
      <c r="L139" s="5">
        <f>IF(C139="","",YEAR(C139)&amp;"-Q"&amp;ROUNDUP(MONTH(C139)/3,0))</f>
        <v/>
      </c>
    </row>
    <row r="140">
      <c r="L140" s="5">
        <f>IF(C140="","",YEAR(C140)&amp;"-Q"&amp;ROUNDUP(MONTH(C140)/3,0))</f>
        <v/>
      </c>
    </row>
    <row r="141">
      <c r="L141" s="5">
        <f>IF(C141="","",YEAR(C141)&amp;"-Q"&amp;ROUNDUP(MONTH(C141)/3,0))</f>
        <v/>
      </c>
    </row>
    <row r="142">
      <c r="L142" s="5">
        <f>IF(C142="","",YEAR(C142)&amp;"-Q"&amp;ROUNDUP(MONTH(C142)/3,0))</f>
        <v/>
      </c>
    </row>
    <row r="143">
      <c r="L143" s="5">
        <f>IF(C143="","",YEAR(C143)&amp;"-Q"&amp;ROUNDUP(MONTH(C143)/3,0))</f>
        <v/>
      </c>
    </row>
    <row r="144">
      <c r="L144" s="5">
        <f>IF(C144="","",YEAR(C144)&amp;"-Q"&amp;ROUNDUP(MONTH(C144)/3,0))</f>
        <v/>
      </c>
    </row>
    <row r="145">
      <c r="L145" s="5">
        <f>IF(C145="","",YEAR(C145)&amp;"-Q"&amp;ROUNDUP(MONTH(C145)/3,0))</f>
        <v/>
      </c>
    </row>
    <row r="146">
      <c r="L146" s="5">
        <f>IF(C146="","",YEAR(C146)&amp;"-Q"&amp;ROUNDUP(MONTH(C146)/3,0))</f>
        <v/>
      </c>
    </row>
    <row r="147">
      <c r="L147" s="5">
        <f>IF(C147="","",YEAR(C147)&amp;"-Q"&amp;ROUNDUP(MONTH(C147)/3,0))</f>
        <v/>
      </c>
    </row>
    <row r="148">
      <c r="L148" s="5">
        <f>IF(C148="","",YEAR(C148)&amp;"-Q"&amp;ROUNDUP(MONTH(C148)/3,0))</f>
        <v/>
      </c>
    </row>
    <row r="149">
      <c r="L149" s="5">
        <f>IF(C149="","",YEAR(C149)&amp;"-Q"&amp;ROUNDUP(MONTH(C149)/3,0))</f>
        <v/>
      </c>
    </row>
    <row r="150">
      <c r="L150" s="5">
        <f>IF(C150="","",YEAR(C150)&amp;"-Q"&amp;ROUNDUP(MONTH(C150)/3,0))</f>
        <v/>
      </c>
    </row>
    <row r="151">
      <c r="L151" s="5">
        <f>IF(C151="","",YEAR(C151)&amp;"-Q"&amp;ROUNDUP(MONTH(C151)/3,0))</f>
        <v/>
      </c>
    </row>
    <row r="152">
      <c r="L152" s="5">
        <f>IF(C152="","",YEAR(C152)&amp;"-Q"&amp;ROUNDUP(MONTH(C152)/3,0))</f>
        <v/>
      </c>
    </row>
    <row r="153">
      <c r="L153" s="5">
        <f>IF(C153="","",YEAR(C153)&amp;"-Q"&amp;ROUNDUP(MONTH(C153)/3,0))</f>
        <v/>
      </c>
    </row>
    <row r="154">
      <c r="L154" s="5">
        <f>IF(C154="","",YEAR(C154)&amp;"-Q"&amp;ROUNDUP(MONTH(C154)/3,0))</f>
        <v/>
      </c>
    </row>
    <row r="155">
      <c r="L155" s="5">
        <f>IF(C155="","",YEAR(C155)&amp;"-Q"&amp;ROUNDUP(MONTH(C155)/3,0))</f>
        <v/>
      </c>
    </row>
    <row r="156">
      <c r="L156" s="5">
        <f>IF(C156="","",YEAR(C156)&amp;"-Q"&amp;ROUNDUP(MONTH(C156)/3,0))</f>
        <v/>
      </c>
    </row>
    <row r="157">
      <c r="L157" s="5">
        <f>IF(C157="","",YEAR(C157)&amp;"-Q"&amp;ROUNDUP(MONTH(C157)/3,0))</f>
        <v/>
      </c>
    </row>
    <row r="158">
      <c r="L158" s="5">
        <f>IF(C158="","",YEAR(C158)&amp;"-Q"&amp;ROUNDUP(MONTH(C158)/3,0))</f>
        <v/>
      </c>
    </row>
    <row r="159">
      <c r="L159" s="5">
        <f>IF(C159="","",YEAR(C159)&amp;"-Q"&amp;ROUNDUP(MONTH(C159)/3,0))</f>
        <v/>
      </c>
    </row>
    <row r="160">
      <c r="L160" s="5">
        <f>IF(C160="","",YEAR(C160)&amp;"-Q"&amp;ROUNDUP(MONTH(C160)/3,0))</f>
        <v/>
      </c>
    </row>
    <row r="161">
      <c r="L161" s="5">
        <f>IF(C161="","",YEAR(C161)&amp;"-Q"&amp;ROUNDUP(MONTH(C161)/3,0))</f>
        <v/>
      </c>
    </row>
    <row r="162">
      <c r="L162" s="5">
        <f>IF(C162="","",YEAR(C162)&amp;"-Q"&amp;ROUNDUP(MONTH(C162)/3,0))</f>
        <v/>
      </c>
    </row>
    <row r="163">
      <c r="L163" s="5">
        <f>IF(C163="","",YEAR(C163)&amp;"-Q"&amp;ROUNDUP(MONTH(C163)/3,0))</f>
        <v/>
      </c>
    </row>
    <row r="164">
      <c r="L164" s="5">
        <f>IF(C164="","",YEAR(C164)&amp;"-Q"&amp;ROUNDUP(MONTH(C164)/3,0))</f>
        <v/>
      </c>
    </row>
    <row r="165">
      <c r="L165" s="5">
        <f>IF(C165="","",YEAR(C165)&amp;"-Q"&amp;ROUNDUP(MONTH(C165)/3,0))</f>
        <v/>
      </c>
    </row>
    <row r="166">
      <c r="L166" s="5">
        <f>IF(C166="","",YEAR(C166)&amp;"-Q"&amp;ROUNDUP(MONTH(C166)/3,0))</f>
        <v/>
      </c>
    </row>
    <row r="167">
      <c r="L167" s="5">
        <f>IF(C167="","",YEAR(C167)&amp;"-Q"&amp;ROUNDUP(MONTH(C167)/3,0))</f>
        <v/>
      </c>
    </row>
    <row r="168">
      <c r="L168" s="5">
        <f>IF(C168="","",YEAR(C168)&amp;"-Q"&amp;ROUNDUP(MONTH(C168)/3,0))</f>
        <v/>
      </c>
    </row>
    <row r="169">
      <c r="L169" s="5">
        <f>IF(C169="","",YEAR(C169)&amp;"-Q"&amp;ROUNDUP(MONTH(C169)/3,0))</f>
        <v/>
      </c>
    </row>
    <row r="170">
      <c r="L170" s="5">
        <f>IF(C170="","",YEAR(C170)&amp;"-Q"&amp;ROUNDUP(MONTH(C170)/3,0))</f>
        <v/>
      </c>
    </row>
    <row r="171">
      <c r="L171" s="5">
        <f>IF(C171="","",YEAR(C171)&amp;"-Q"&amp;ROUNDUP(MONTH(C171)/3,0))</f>
        <v/>
      </c>
    </row>
    <row r="172">
      <c r="L172" s="5">
        <f>IF(C172="","",YEAR(C172)&amp;"-Q"&amp;ROUNDUP(MONTH(C172)/3,0))</f>
        <v/>
      </c>
    </row>
    <row r="173">
      <c r="L173" s="5">
        <f>IF(C173="","",YEAR(C173)&amp;"-Q"&amp;ROUNDUP(MONTH(C173)/3,0))</f>
        <v/>
      </c>
    </row>
    <row r="174">
      <c r="L174" s="5">
        <f>IF(C174="","",YEAR(C174)&amp;"-Q"&amp;ROUNDUP(MONTH(C174)/3,0))</f>
        <v/>
      </c>
    </row>
    <row r="175">
      <c r="L175" s="5">
        <f>IF(C175="","",YEAR(C175)&amp;"-Q"&amp;ROUNDUP(MONTH(C175)/3,0))</f>
        <v/>
      </c>
    </row>
    <row r="176">
      <c r="L176" s="5">
        <f>IF(C176="","",YEAR(C176)&amp;"-Q"&amp;ROUNDUP(MONTH(C176)/3,0))</f>
        <v/>
      </c>
    </row>
    <row r="177">
      <c r="L177" s="5">
        <f>IF(C177="","",YEAR(C177)&amp;"-Q"&amp;ROUNDUP(MONTH(C177)/3,0))</f>
        <v/>
      </c>
    </row>
    <row r="178">
      <c r="L178" s="5">
        <f>IF(C178="","",YEAR(C178)&amp;"-Q"&amp;ROUNDUP(MONTH(C178)/3,0))</f>
        <v/>
      </c>
    </row>
    <row r="179">
      <c r="L179" s="5">
        <f>IF(C179="","",YEAR(C179)&amp;"-Q"&amp;ROUNDUP(MONTH(C179)/3,0))</f>
        <v/>
      </c>
    </row>
    <row r="180">
      <c r="L180" s="5">
        <f>IF(C180="","",YEAR(C180)&amp;"-Q"&amp;ROUNDUP(MONTH(C180)/3,0))</f>
        <v/>
      </c>
    </row>
    <row r="181">
      <c r="L181" s="5">
        <f>IF(C181="","",YEAR(C181)&amp;"-Q"&amp;ROUNDUP(MONTH(C181)/3,0))</f>
        <v/>
      </c>
    </row>
    <row r="182">
      <c r="L182" s="5">
        <f>IF(C182="","",YEAR(C182)&amp;"-Q"&amp;ROUNDUP(MONTH(C182)/3,0))</f>
        <v/>
      </c>
    </row>
    <row r="183">
      <c r="L183" s="5">
        <f>IF(C183="","",YEAR(C183)&amp;"-Q"&amp;ROUNDUP(MONTH(C183)/3,0))</f>
        <v/>
      </c>
    </row>
    <row r="184">
      <c r="L184" s="5">
        <f>IF(C184="","",YEAR(C184)&amp;"-Q"&amp;ROUNDUP(MONTH(C184)/3,0))</f>
        <v/>
      </c>
    </row>
    <row r="185">
      <c r="L185" s="5">
        <f>IF(C185="","",YEAR(C185)&amp;"-Q"&amp;ROUNDUP(MONTH(C185)/3,0))</f>
        <v/>
      </c>
    </row>
    <row r="186">
      <c r="L186" s="5">
        <f>IF(C186="","",YEAR(C186)&amp;"-Q"&amp;ROUNDUP(MONTH(C186)/3,0))</f>
        <v/>
      </c>
    </row>
    <row r="187">
      <c r="L187" s="5">
        <f>IF(C187="","",YEAR(C187)&amp;"-Q"&amp;ROUNDUP(MONTH(C187)/3,0))</f>
        <v/>
      </c>
    </row>
    <row r="188">
      <c r="L188" s="5">
        <f>IF(C188="","",YEAR(C188)&amp;"-Q"&amp;ROUNDUP(MONTH(C188)/3,0))</f>
        <v/>
      </c>
    </row>
    <row r="189">
      <c r="L189" s="5">
        <f>IF(C189="","",YEAR(C189)&amp;"-Q"&amp;ROUNDUP(MONTH(C189)/3,0))</f>
        <v/>
      </c>
    </row>
    <row r="190">
      <c r="L190" s="5">
        <f>IF(C190="","",YEAR(C190)&amp;"-Q"&amp;ROUNDUP(MONTH(C190)/3,0))</f>
        <v/>
      </c>
    </row>
    <row r="191">
      <c r="L191" s="5">
        <f>IF(C191="","",YEAR(C191)&amp;"-Q"&amp;ROUNDUP(MONTH(C191)/3,0))</f>
        <v/>
      </c>
    </row>
    <row r="192">
      <c r="L192" s="5">
        <f>IF(C192="","",YEAR(C192)&amp;"-Q"&amp;ROUNDUP(MONTH(C192)/3,0))</f>
        <v/>
      </c>
    </row>
    <row r="193">
      <c r="L193" s="5">
        <f>IF(C193="","",YEAR(C193)&amp;"-Q"&amp;ROUNDUP(MONTH(C193)/3,0))</f>
        <v/>
      </c>
    </row>
    <row r="194">
      <c r="L194" s="5">
        <f>IF(C194="","",YEAR(C194)&amp;"-Q"&amp;ROUNDUP(MONTH(C194)/3,0))</f>
        <v/>
      </c>
    </row>
    <row r="195">
      <c r="L195" s="5">
        <f>IF(C195="","",YEAR(C195)&amp;"-Q"&amp;ROUNDUP(MONTH(C195)/3,0))</f>
        <v/>
      </c>
    </row>
    <row r="196">
      <c r="L196" s="5">
        <f>IF(C196="","",YEAR(C196)&amp;"-Q"&amp;ROUNDUP(MONTH(C196)/3,0))</f>
        <v/>
      </c>
    </row>
    <row r="197">
      <c r="L197" s="5">
        <f>IF(C197="","",YEAR(C197)&amp;"-Q"&amp;ROUNDUP(MONTH(C197)/3,0))</f>
        <v/>
      </c>
    </row>
    <row r="198">
      <c r="L198" s="5">
        <f>IF(C198="","",YEAR(C198)&amp;"-Q"&amp;ROUNDUP(MONTH(C198)/3,0))</f>
        <v/>
      </c>
    </row>
    <row r="199">
      <c r="L199" s="5">
        <f>IF(C199="","",YEAR(C199)&amp;"-Q"&amp;ROUNDUP(MONTH(C199)/3,0))</f>
        <v/>
      </c>
    </row>
    <row r="200">
      <c r="L200" s="5">
        <f>IF(C200="","",YEAR(C200)&amp;"-Q"&amp;ROUNDUP(MONTH(C200)/3,0))</f>
        <v/>
      </c>
    </row>
    <row r="201">
      <c r="L201" s="5">
        <f>IF(C201="","",YEAR(C201)&amp;"-Q"&amp;ROUNDUP(MONTH(C201)/3,0))</f>
        <v/>
      </c>
    </row>
    <row r="202">
      <c r="L202" s="5">
        <f>IF(C202="","",YEAR(C202)&amp;"-Q"&amp;ROUNDUP(MONTH(C202)/3,0))</f>
        <v/>
      </c>
    </row>
    <row r="203">
      <c r="L203" s="5">
        <f>IF(C203="","",YEAR(C203)&amp;"-Q"&amp;ROUNDUP(MONTH(C203)/3,0))</f>
        <v/>
      </c>
    </row>
    <row r="204">
      <c r="L204" s="5">
        <f>IF(C204="","",YEAR(C204)&amp;"-Q"&amp;ROUNDUP(MONTH(C204)/3,0))</f>
        <v/>
      </c>
    </row>
    <row r="205">
      <c r="L205" s="5">
        <f>IF(C205="","",YEAR(C205)&amp;"-Q"&amp;ROUNDUP(MONTH(C205)/3,0))</f>
        <v/>
      </c>
    </row>
    <row r="206">
      <c r="L206" s="5">
        <f>IF(C206="","",YEAR(C206)&amp;"-Q"&amp;ROUNDUP(MONTH(C206)/3,0))</f>
        <v/>
      </c>
    </row>
    <row r="207">
      <c r="L207" s="5">
        <f>IF(C207="","",YEAR(C207)&amp;"-Q"&amp;ROUNDUP(MONTH(C207)/3,0))</f>
        <v/>
      </c>
    </row>
    <row r="208">
      <c r="L208" s="5">
        <f>IF(C208="","",YEAR(C208)&amp;"-Q"&amp;ROUNDUP(MONTH(C208)/3,0))</f>
        <v/>
      </c>
    </row>
    <row r="209">
      <c r="L209" s="5">
        <f>IF(C209="","",YEAR(C209)&amp;"-Q"&amp;ROUNDUP(MONTH(C209)/3,0))</f>
        <v/>
      </c>
    </row>
    <row r="210">
      <c r="L210" s="5">
        <f>IF(C210="","",YEAR(C210)&amp;"-Q"&amp;ROUNDUP(MONTH(C210)/3,0))</f>
        <v/>
      </c>
    </row>
    <row r="211">
      <c r="L211" s="5">
        <f>IF(C211="","",YEAR(C211)&amp;"-Q"&amp;ROUNDUP(MONTH(C211)/3,0))</f>
        <v/>
      </c>
    </row>
    <row r="212">
      <c r="L212" s="5">
        <f>IF(C212="","",YEAR(C212)&amp;"-Q"&amp;ROUNDUP(MONTH(C212)/3,0))</f>
        <v/>
      </c>
    </row>
    <row r="213">
      <c r="L213" s="5">
        <f>IF(C213="","",YEAR(C213)&amp;"-Q"&amp;ROUNDUP(MONTH(C213)/3,0))</f>
        <v/>
      </c>
    </row>
    <row r="214">
      <c r="L214" s="5">
        <f>IF(C214="","",YEAR(C214)&amp;"-Q"&amp;ROUNDUP(MONTH(C214)/3,0))</f>
        <v/>
      </c>
    </row>
    <row r="215">
      <c r="L215" s="5">
        <f>IF(C215="","",YEAR(C215)&amp;"-Q"&amp;ROUNDUP(MONTH(C215)/3,0))</f>
        <v/>
      </c>
    </row>
    <row r="216">
      <c r="L216" s="5">
        <f>IF(C216="","",YEAR(C216)&amp;"-Q"&amp;ROUNDUP(MONTH(C216)/3,0))</f>
        <v/>
      </c>
    </row>
    <row r="217">
      <c r="L217" s="5">
        <f>IF(C217="","",YEAR(C217)&amp;"-Q"&amp;ROUNDUP(MONTH(C217)/3,0))</f>
        <v/>
      </c>
    </row>
    <row r="218">
      <c r="L218" s="5">
        <f>IF(C218="","",YEAR(C218)&amp;"-Q"&amp;ROUNDUP(MONTH(C218)/3,0))</f>
        <v/>
      </c>
    </row>
    <row r="219">
      <c r="L219" s="5">
        <f>IF(C219="","",YEAR(C219)&amp;"-Q"&amp;ROUNDUP(MONTH(C219)/3,0))</f>
        <v/>
      </c>
    </row>
    <row r="220">
      <c r="L220" s="5">
        <f>IF(C220="","",YEAR(C220)&amp;"-Q"&amp;ROUNDUP(MONTH(C220)/3,0))</f>
        <v/>
      </c>
    </row>
    <row r="221">
      <c r="L221" s="5">
        <f>IF(C221="","",YEAR(C221)&amp;"-Q"&amp;ROUNDUP(MONTH(C221)/3,0))</f>
        <v/>
      </c>
    </row>
    <row r="222">
      <c r="L222" s="5">
        <f>IF(C222="","",YEAR(C222)&amp;"-Q"&amp;ROUNDUP(MONTH(C222)/3,0))</f>
        <v/>
      </c>
    </row>
    <row r="223">
      <c r="L223" s="5">
        <f>IF(C223="","",YEAR(C223)&amp;"-Q"&amp;ROUNDUP(MONTH(C223)/3,0))</f>
        <v/>
      </c>
    </row>
    <row r="224">
      <c r="L224" s="5">
        <f>IF(C224="","",YEAR(C224)&amp;"-Q"&amp;ROUNDUP(MONTH(C224)/3,0))</f>
        <v/>
      </c>
    </row>
    <row r="225">
      <c r="L225" s="5">
        <f>IF(C225="","",YEAR(C225)&amp;"-Q"&amp;ROUNDUP(MONTH(C225)/3,0))</f>
        <v/>
      </c>
    </row>
    <row r="226">
      <c r="L226" s="5">
        <f>IF(C226="","",YEAR(C226)&amp;"-Q"&amp;ROUNDUP(MONTH(C226)/3,0))</f>
        <v/>
      </c>
    </row>
    <row r="227">
      <c r="L227" s="5">
        <f>IF(C227="","",YEAR(C227)&amp;"-Q"&amp;ROUNDUP(MONTH(C227)/3,0))</f>
        <v/>
      </c>
    </row>
    <row r="228">
      <c r="L228" s="5">
        <f>IF(C228="","",YEAR(C228)&amp;"-Q"&amp;ROUNDUP(MONTH(C228)/3,0))</f>
        <v/>
      </c>
    </row>
    <row r="229">
      <c r="L229" s="5">
        <f>IF(C229="","",YEAR(C229)&amp;"-Q"&amp;ROUNDUP(MONTH(C229)/3,0))</f>
        <v/>
      </c>
    </row>
    <row r="230">
      <c r="L230" s="5">
        <f>IF(C230="","",YEAR(C230)&amp;"-Q"&amp;ROUNDUP(MONTH(C230)/3,0))</f>
        <v/>
      </c>
    </row>
    <row r="231">
      <c r="L231" s="5">
        <f>IF(C231="","",YEAR(C231)&amp;"-Q"&amp;ROUNDUP(MONTH(C231)/3,0))</f>
        <v/>
      </c>
    </row>
    <row r="232">
      <c r="L232" s="5">
        <f>IF(C232="","",YEAR(C232)&amp;"-Q"&amp;ROUNDUP(MONTH(C232)/3,0))</f>
        <v/>
      </c>
    </row>
    <row r="233">
      <c r="L233" s="5">
        <f>IF(C233="","",YEAR(C233)&amp;"-Q"&amp;ROUNDUP(MONTH(C233)/3,0))</f>
        <v/>
      </c>
    </row>
    <row r="234">
      <c r="L234" s="5">
        <f>IF(C234="","",YEAR(C234)&amp;"-Q"&amp;ROUNDUP(MONTH(C234)/3,0))</f>
        <v/>
      </c>
    </row>
    <row r="235">
      <c r="L235" s="5">
        <f>IF(C235="","",YEAR(C235)&amp;"-Q"&amp;ROUNDUP(MONTH(C235)/3,0))</f>
        <v/>
      </c>
    </row>
    <row r="236">
      <c r="L236" s="5">
        <f>IF(C236="","",YEAR(C236)&amp;"-Q"&amp;ROUNDUP(MONTH(C236)/3,0))</f>
        <v/>
      </c>
    </row>
    <row r="237">
      <c r="L237" s="5">
        <f>IF(C237="","",YEAR(C237)&amp;"-Q"&amp;ROUNDUP(MONTH(C237)/3,0))</f>
        <v/>
      </c>
    </row>
    <row r="238">
      <c r="L238" s="5">
        <f>IF(C238="","",YEAR(C238)&amp;"-Q"&amp;ROUNDUP(MONTH(C238)/3,0))</f>
        <v/>
      </c>
    </row>
    <row r="239">
      <c r="L239" s="5">
        <f>IF(C239="","",YEAR(C239)&amp;"-Q"&amp;ROUNDUP(MONTH(C239)/3,0))</f>
        <v/>
      </c>
    </row>
    <row r="240">
      <c r="L240" s="5">
        <f>IF(C240="","",YEAR(C240)&amp;"-Q"&amp;ROUNDUP(MONTH(C240)/3,0))</f>
        <v/>
      </c>
    </row>
    <row r="241">
      <c r="L241" s="5">
        <f>IF(C241="","",YEAR(C241)&amp;"-Q"&amp;ROUNDUP(MONTH(C241)/3,0))</f>
        <v/>
      </c>
    </row>
    <row r="242">
      <c r="L242" s="5">
        <f>IF(C242="","",YEAR(C242)&amp;"-Q"&amp;ROUNDUP(MONTH(C242)/3,0))</f>
        <v/>
      </c>
    </row>
    <row r="243">
      <c r="L243" s="5">
        <f>IF(C243="","",YEAR(C243)&amp;"-Q"&amp;ROUNDUP(MONTH(C243)/3,0))</f>
        <v/>
      </c>
    </row>
    <row r="244">
      <c r="L244" s="5">
        <f>IF(C244="","",YEAR(C244)&amp;"-Q"&amp;ROUNDUP(MONTH(C244)/3,0))</f>
        <v/>
      </c>
    </row>
    <row r="245">
      <c r="L245" s="5">
        <f>IF(C245="","",YEAR(C245)&amp;"-Q"&amp;ROUNDUP(MONTH(C245)/3,0))</f>
        <v/>
      </c>
    </row>
    <row r="246">
      <c r="L246" s="5">
        <f>IF(C246="","",YEAR(C246)&amp;"-Q"&amp;ROUNDUP(MONTH(C246)/3,0))</f>
        <v/>
      </c>
    </row>
    <row r="247">
      <c r="L247" s="5">
        <f>IF(C247="","",YEAR(C247)&amp;"-Q"&amp;ROUNDUP(MONTH(C247)/3,0))</f>
        <v/>
      </c>
    </row>
    <row r="248">
      <c r="L248" s="5">
        <f>IF(C248="","",YEAR(C248)&amp;"-Q"&amp;ROUNDUP(MONTH(C248)/3,0))</f>
        <v/>
      </c>
    </row>
    <row r="249">
      <c r="L249" s="5">
        <f>IF(C249="","",YEAR(C249)&amp;"-Q"&amp;ROUNDUP(MONTH(C249)/3,0))</f>
        <v/>
      </c>
    </row>
    <row r="250">
      <c r="L250" s="5">
        <f>IF(C250="","",YEAR(C250)&amp;"-Q"&amp;ROUNDUP(MONTH(C250)/3,0))</f>
        <v/>
      </c>
    </row>
    <row r="251">
      <c r="L251" s="5">
        <f>IF(C251="","",YEAR(C251)&amp;"-Q"&amp;ROUNDUP(MONTH(C251)/3,0))</f>
        <v/>
      </c>
    </row>
    <row r="252">
      <c r="L252" s="5">
        <f>IF(C252="","",YEAR(C252)&amp;"-Q"&amp;ROUNDUP(MONTH(C252)/3,0))</f>
        <v/>
      </c>
    </row>
    <row r="253">
      <c r="L253" s="5">
        <f>IF(C253="","",YEAR(C253)&amp;"-Q"&amp;ROUNDUP(MONTH(C253)/3,0))</f>
        <v/>
      </c>
    </row>
    <row r="254">
      <c r="L254" s="5">
        <f>IF(C254="","",YEAR(C254)&amp;"-Q"&amp;ROUNDUP(MONTH(C254)/3,0))</f>
        <v/>
      </c>
    </row>
    <row r="255">
      <c r="L255" s="5">
        <f>IF(C255="","",YEAR(C255)&amp;"-Q"&amp;ROUNDUP(MONTH(C255)/3,0))</f>
        <v/>
      </c>
    </row>
    <row r="256">
      <c r="L256" s="5">
        <f>IF(C256="","",YEAR(C256)&amp;"-Q"&amp;ROUNDUP(MONTH(C256)/3,0))</f>
        <v/>
      </c>
    </row>
    <row r="257">
      <c r="L257" s="5">
        <f>IF(C257="","",YEAR(C257)&amp;"-Q"&amp;ROUNDUP(MONTH(C257)/3,0))</f>
        <v/>
      </c>
    </row>
    <row r="258">
      <c r="L258" s="5">
        <f>IF(C258="","",YEAR(C258)&amp;"-Q"&amp;ROUNDUP(MONTH(C258)/3,0))</f>
        <v/>
      </c>
    </row>
    <row r="259">
      <c r="L259" s="5">
        <f>IF(C259="","",YEAR(C259)&amp;"-Q"&amp;ROUNDUP(MONTH(C259)/3,0))</f>
        <v/>
      </c>
    </row>
    <row r="260">
      <c r="L260" s="5">
        <f>IF(C260="","",YEAR(C260)&amp;"-Q"&amp;ROUNDUP(MONTH(C260)/3,0))</f>
        <v/>
      </c>
    </row>
    <row r="261">
      <c r="L261" s="5">
        <f>IF(C261="","",YEAR(C261)&amp;"-Q"&amp;ROUNDUP(MONTH(C261)/3,0))</f>
        <v/>
      </c>
    </row>
    <row r="262">
      <c r="L262" s="5">
        <f>IF(C262="","",YEAR(C262)&amp;"-Q"&amp;ROUNDUP(MONTH(C262)/3,0))</f>
        <v/>
      </c>
    </row>
    <row r="263">
      <c r="L263" s="5">
        <f>IF(C263="","",YEAR(C263)&amp;"-Q"&amp;ROUNDUP(MONTH(C263)/3,0))</f>
        <v/>
      </c>
    </row>
    <row r="264">
      <c r="L264" s="5">
        <f>IF(C264="","",YEAR(C264)&amp;"-Q"&amp;ROUNDUP(MONTH(C264)/3,0))</f>
        <v/>
      </c>
    </row>
    <row r="265">
      <c r="L265" s="5">
        <f>IF(C265="","",YEAR(C265)&amp;"-Q"&amp;ROUNDUP(MONTH(C265)/3,0))</f>
        <v/>
      </c>
    </row>
    <row r="266">
      <c r="L266" s="5">
        <f>IF(C266="","",YEAR(C266)&amp;"-Q"&amp;ROUNDUP(MONTH(C266)/3,0))</f>
        <v/>
      </c>
    </row>
    <row r="267">
      <c r="L267" s="5">
        <f>IF(C267="","",YEAR(C267)&amp;"-Q"&amp;ROUNDUP(MONTH(C267)/3,0))</f>
        <v/>
      </c>
    </row>
    <row r="268">
      <c r="L268" s="5">
        <f>IF(C268="","",YEAR(C268)&amp;"-Q"&amp;ROUNDUP(MONTH(C268)/3,0))</f>
        <v/>
      </c>
    </row>
    <row r="269">
      <c r="L269" s="5">
        <f>IF(C269="","",YEAR(C269)&amp;"-Q"&amp;ROUNDUP(MONTH(C269)/3,0))</f>
        <v/>
      </c>
    </row>
    <row r="270">
      <c r="L270" s="5">
        <f>IF(C270="","",YEAR(C270)&amp;"-Q"&amp;ROUNDUP(MONTH(C270)/3,0))</f>
        <v/>
      </c>
    </row>
    <row r="271">
      <c r="L271" s="5">
        <f>IF(C271="","",YEAR(C271)&amp;"-Q"&amp;ROUNDUP(MONTH(C271)/3,0))</f>
        <v/>
      </c>
    </row>
    <row r="272">
      <c r="L272" s="5">
        <f>IF(C272="","",YEAR(C272)&amp;"-Q"&amp;ROUNDUP(MONTH(C272)/3,0))</f>
        <v/>
      </c>
    </row>
    <row r="273">
      <c r="L273" s="5">
        <f>IF(C273="","",YEAR(C273)&amp;"-Q"&amp;ROUNDUP(MONTH(C273)/3,0))</f>
        <v/>
      </c>
    </row>
    <row r="274">
      <c r="L274" s="5">
        <f>IF(C274="","",YEAR(C274)&amp;"-Q"&amp;ROUNDUP(MONTH(C274)/3,0))</f>
        <v/>
      </c>
    </row>
    <row r="275">
      <c r="L275" s="5">
        <f>IF(C275="","",YEAR(C275)&amp;"-Q"&amp;ROUNDUP(MONTH(C275)/3,0))</f>
        <v/>
      </c>
    </row>
    <row r="276">
      <c r="L276" s="5">
        <f>IF(C276="","",YEAR(C276)&amp;"-Q"&amp;ROUNDUP(MONTH(C276)/3,0))</f>
        <v/>
      </c>
    </row>
    <row r="277">
      <c r="L277" s="5">
        <f>IF(C277="","",YEAR(C277)&amp;"-Q"&amp;ROUNDUP(MONTH(C277)/3,0))</f>
        <v/>
      </c>
    </row>
    <row r="278">
      <c r="L278" s="5">
        <f>IF(C278="","",YEAR(C278)&amp;"-Q"&amp;ROUNDUP(MONTH(C278)/3,0))</f>
        <v/>
      </c>
    </row>
    <row r="279">
      <c r="L279" s="5">
        <f>IF(C279="","",YEAR(C279)&amp;"-Q"&amp;ROUNDUP(MONTH(C279)/3,0))</f>
        <v/>
      </c>
    </row>
    <row r="280">
      <c r="L280" s="5">
        <f>IF(C280="","",YEAR(C280)&amp;"-Q"&amp;ROUNDUP(MONTH(C280)/3,0))</f>
        <v/>
      </c>
    </row>
    <row r="281">
      <c r="L281" s="5">
        <f>IF(C281="","",YEAR(C281)&amp;"-Q"&amp;ROUNDUP(MONTH(C281)/3,0))</f>
        <v/>
      </c>
    </row>
    <row r="282">
      <c r="L282" s="5">
        <f>IF(C282="","",YEAR(C282)&amp;"-Q"&amp;ROUNDUP(MONTH(C282)/3,0))</f>
        <v/>
      </c>
    </row>
    <row r="283">
      <c r="L283" s="5">
        <f>IF(C283="","",YEAR(C283)&amp;"-Q"&amp;ROUNDUP(MONTH(C283)/3,0))</f>
        <v/>
      </c>
    </row>
    <row r="284">
      <c r="L284" s="5">
        <f>IF(C284="","",YEAR(C284)&amp;"-Q"&amp;ROUNDUP(MONTH(C284)/3,0))</f>
        <v/>
      </c>
    </row>
    <row r="285">
      <c r="L285" s="5">
        <f>IF(C285="","",YEAR(C285)&amp;"-Q"&amp;ROUNDUP(MONTH(C285)/3,0))</f>
        <v/>
      </c>
    </row>
    <row r="286">
      <c r="L286" s="5">
        <f>IF(C286="","",YEAR(C286)&amp;"-Q"&amp;ROUNDUP(MONTH(C286)/3,0))</f>
        <v/>
      </c>
    </row>
    <row r="287">
      <c r="L287" s="5">
        <f>IF(C287="","",YEAR(C287)&amp;"-Q"&amp;ROUNDUP(MONTH(C287)/3,0))</f>
        <v/>
      </c>
    </row>
    <row r="288">
      <c r="L288" s="5">
        <f>IF(C288="","",YEAR(C288)&amp;"-Q"&amp;ROUNDUP(MONTH(C288)/3,0))</f>
        <v/>
      </c>
    </row>
    <row r="289">
      <c r="L289" s="5">
        <f>IF(C289="","",YEAR(C289)&amp;"-Q"&amp;ROUNDUP(MONTH(C289)/3,0))</f>
        <v/>
      </c>
    </row>
    <row r="290">
      <c r="L290" s="5">
        <f>IF(C290="","",YEAR(C290)&amp;"-Q"&amp;ROUNDUP(MONTH(C290)/3,0))</f>
        <v/>
      </c>
    </row>
    <row r="291">
      <c r="L291" s="5">
        <f>IF(C291="","",YEAR(C291)&amp;"-Q"&amp;ROUNDUP(MONTH(C291)/3,0))</f>
        <v/>
      </c>
    </row>
    <row r="292">
      <c r="L292" s="5">
        <f>IF(C292="","",YEAR(C292)&amp;"-Q"&amp;ROUNDUP(MONTH(C292)/3,0))</f>
        <v/>
      </c>
    </row>
    <row r="293">
      <c r="L293" s="5">
        <f>IF(C293="","",YEAR(C293)&amp;"-Q"&amp;ROUNDUP(MONTH(C293)/3,0))</f>
        <v/>
      </c>
    </row>
    <row r="294">
      <c r="L294" s="5">
        <f>IF(C294="","",YEAR(C294)&amp;"-Q"&amp;ROUNDUP(MONTH(C294)/3,0))</f>
        <v/>
      </c>
    </row>
    <row r="295">
      <c r="L295" s="5">
        <f>IF(C295="","",YEAR(C295)&amp;"-Q"&amp;ROUNDUP(MONTH(C295)/3,0))</f>
        <v/>
      </c>
    </row>
    <row r="296">
      <c r="L296" s="5">
        <f>IF(C296="","",YEAR(C296)&amp;"-Q"&amp;ROUNDUP(MONTH(C296)/3,0))</f>
        <v/>
      </c>
    </row>
    <row r="297">
      <c r="L297" s="5">
        <f>IF(C297="","",YEAR(C297)&amp;"-Q"&amp;ROUNDUP(MONTH(C297)/3,0))</f>
        <v/>
      </c>
    </row>
    <row r="298">
      <c r="L298" s="5">
        <f>IF(C298="","",YEAR(C298)&amp;"-Q"&amp;ROUNDUP(MONTH(C298)/3,0))</f>
        <v/>
      </c>
    </row>
    <row r="299">
      <c r="L299" s="5">
        <f>IF(C299="","",YEAR(C299)&amp;"-Q"&amp;ROUNDUP(MONTH(C299)/3,0))</f>
        <v/>
      </c>
    </row>
    <row r="300">
      <c r="L300" s="5">
        <f>IF(C300="","",YEAR(C300)&amp;"-Q"&amp;ROUNDUP(MONTH(C300)/3,0))</f>
        <v/>
      </c>
    </row>
    <row r="301">
      <c r="L301" s="5">
        <f>IF(C301="","",YEAR(C301)&amp;"-Q"&amp;ROUNDUP(MONTH(C301)/3,0))</f>
        <v/>
      </c>
    </row>
    <row r="302">
      <c r="L302" s="5">
        <f>IF(C302="","",YEAR(C302)&amp;"-Q"&amp;ROUNDUP(MONTH(C302)/3,0))</f>
        <v/>
      </c>
    </row>
    <row r="303">
      <c r="L303" s="5">
        <f>IF(C303="","",YEAR(C303)&amp;"-Q"&amp;ROUNDUP(MONTH(C303)/3,0))</f>
        <v/>
      </c>
    </row>
    <row r="304">
      <c r="L304" s="5">
        <f>IF(C304="","",YEAR(C304)&amp;"-Q"&amp;ROUNDUP(MONTH(C304)/3,0))</f>
        <v/>
      </c>
    </row>
    <row r="305">
      <c r="L305" s="5">
        <f>IF(C305="","",YEAR(C305)&amp;"-Q"&amp;ROUNDUP(MONTH(C305)/3,0))</f>
        <v/>
      </c>
    </row>
    <row r="306">
      <c r="L306" s="5">
        <f>IF(C306="","",YEAR(C306)&amp;"-Q"&amp;ROUNDUP(MONTH(C306)/3,0))</f>
        <v/>
      </c>
    </row>
    <row r="307">
      <c r="L307" s="5">
        <f>IF(C307="","",YEAR(C307)&amp;"-Q"&amp;ROUNDUP(MONTH(C307)/3,0))</f>
        <v/>
      </c>
    </row>
    <row r="308">
      <c r="L308" s="5">
        <f>IF(C308="","",YEAR(C308)&amp;"-Q"&amp;ROUNDUP(MONTH(C308)/3,0))</f>
        <v/>
      </c>
    </row>
    <row r="309">
      <c r="L309" s="5">
        <f>IF(C309="","",YEAR(C309)&amp;"-Q"&amp;ROUNDUP(MONTH(C309)/3,0))</f>
        <v/>
      </c>
    </row>
    <row r="310">
      <c r="L310" s="5">
        <f>IF(C310="","",YEAR(C310)&amp;"-Q"&amp;ROUNDUP(MONTH(C310)/3,0))</f>
        <v/>
      </c>
    </row>
    <row r="311">
      <c r="L311" s="5">
        <f>IF(C311="","",YEAR(C311)&amp;"-Q"&amp;ROUNDUP(MONTH(C311)/3,0))</f>
        <v/>
      </c>
    </row>
    <row r="312">
      <c r="L312" s="5">
        <f>IF(C312="","",YEAR(C312)&amp;"-Q"&amp;ROUNDUP(MONTH(C312)/3,0))</f>
        <v/>
      </c>
    </row>
    <row r="313">
      <c r="L313" s="5">
        <f>IF(C313="","",YEAR(C313)&amp;"-Q"&amp;ROUNDUP(MONTH(C313)/3,0))</f>
        <v/>
      </c>
    </row>
    <row r="314">
      <c r="L314" s="5">
        <f>IF(C314="","",YEAR(C314)&amp;"-Q"&amp;ROUNDUP(MONTH(C314)/3,0))</f>
        <v/>
      </c>
    </row>
    <row r="315">
      <c r="L315" s="5">
        <f>IF(C315="","",YEAR(C315)&amp;"-Q"&amp;ROUNDUP(MONTH(C315)/3,0))</f>
        <v/>
      </c>
    </row>
    <row r="316">
      <c r="L316" s="5">
        <f>IF(C316="","",YEAR(C316)&amp;"-Q"&amp;ROUNDUP(MONTH(C316)/3,0))</f>
        <v/>
      </c>
    </row>
    <row r="317">
      <c r="L317" s="5">
        <f>IF(C317="","",YEAR(C317)&amp;"-Q"&amp;ROUNDUP(MONTH(C317)/3,0))</f>
        <v/>
      </c>
    </row>
    <row r="318">
      <c r="L318" s="5">
        <f>IF(C318="","",YEAR(C318)&amp;"-Q"&amp;ROUNDUP(MONTH(C318)/3,0))</f>
        <v/>
      </c>
    </row>
    <row r="319">
      <c r="L319" s="5">
        <f>IF(C319="","",YEAR(C319)&amp;"-Q"&amp;ROUNDUP(MONTH(C319)/3,0))</f>
        <v/>
      </c>
    </row>
    <row r="320">
      <c r="L320" s="5">
        <f>IF(C320="","",YEAR(C320)&amp;"-Q"&amp;ROUNDUP(MONTH(C320)/3,0))</f>
        <v/>
      </c>
    </row>
    <row r="321">
      <c r="L321" s="5">
        <f>IF(C321="","",YEAR(C321)&amp;"-Q"&amp;ROUNDUP(MONTH(C321)/3,0))</f>
        <v/>
      </c>
    </row>
    <row r="322">
      <c r="L322" s="5">
        <f>IF(C322="","",YEAR(C322)&amp;"-Q"&amp;ROUNDUP(MONTH(C322)/3,0))</f>
        <v/>
      </c>
    </row>
    <row r="323">
      <c r="L323" s="5">
        <f>IF(C323="","",YEAR(C323)&amp;"-Q"&amp;ROUNDUP(MONTH(C323)/3,0))</f>
        <v/>
      </c>
    </row>
    <row r="324">
      <c r="L324" s="5">
        <f>IF(C324="","",YEAR(C324)&amp;"-Q"&amp;ROUNDUP(MONTH(C324)/3,0))</f>
        <v/>
      </c>
    </row>
    <row r="325">
      <c r="L325" s="5">
        <f>IF(C325="","",YEAR(C325)&amp;"-Q"&amp;ROUNDUP(MONTH(C325)/3,0))</f>
        <v/>
      </c>
    </row>
    <row r="326">
      <c r="L326" s="5">
        <f>IF(C326="","",YEAR(C326)&amp;"-Q"&amp;ROUNDUP(MONTH(C326)/3,0))</f>
        <v/>
      </c>
    </row>
    <row r="327">
      <c r="L327" s="5">
        <f>IF(C327="","",YEAR(C327)&amp;"-Q"&amp;ROUNDUP(MONTH(C327)/3,0))</f>
        <v/>
      </c>
    </row>
    <row r="328">
      <c r="L328" s="5">
        <f>IF(C328="","",YEAR(C328)&amp;"-Q"&amp;ROUNDUP(MONTH(C328)/3,0))</f>
        <v/>
      </c>
    </row>
    <row r="329">
      <c r="L329" s="5">
        <f>IF(C329="","",YEAR(C329)&amp;"-Q"&amp;ROUNDUP(MONTH(C329)/3,0))</f>
        <v/>
      </c>
    </row>
    <row r="330">
      <c r="L330" s="5">
        <f>IF(C330="","",YEAR(C330)&amp;"-Q"&amp;ROUNDUP(MONTH(C330)/3,0))</f>
        <v/>
      </c>
    </row>
    <row r="331">
      <c r="L331" s="5">
        <f>IF(C331="","",YEAR(C331)&amp;"-Q"&amp;ROUNDUP(MONTH(C331)/3,0))</f>
        <v/>
      </c>
    </row>
    <row r="332">
      <c r="L332" s="5">
        <f>IF(C332="","",YEAR(C332)&amp;"-Q"&amp;ROUNDUP(MONTH(C332)/3,0))</f>
        <v/>
      </c>
    </row>
    <row r="333">
      <c r="L333" s="5">
        <f>IF(C333="","",YEAR(C333)&amp;"-Q"&amp;ROUNDUP(MONTH(C333)/3,0))</f>
        <v/>
      </c>
    </row>
    <row r="334">
      <c r="L334" s="5">
        <f>IF(C334="","",YEAR(C334)&amp;"-Q"&amp;ROUNDUP(MONTH(C334)/3,0))</f>
        <v/>
      </c>
    </row>
    <row r="335">
      <c r="L335" s="5">
        <f>IF(C335="","",YEAR(C335)&amp;"-Q"&amp;ROUNDUP(MONTH(C335)/3,0))</f>
        <v/>
      </c>
    </row>
    <row r="336">
      <c r="L336" s="5">
        <f>IF(C336="","",YEAR(C336)&amp;"-Q"&amp;ROUNDUP(MONTH(C336)/3,0))</f>
        <v/>
      </c>
    </row>
    <row r="337">
      <c r="L337" s="5">
        <f>IF(C337="","",YEAR(C337)&amp;"-Q"&amp;ROUNDUP(MONTH(C337)/3,0))</f>
        <v/>
      </c>
    </row>
    <row r="338">
      <c r="L338" s="5">
        <f>IF(C338="","",YEAR(C338)&amp;"-Q"&amp;ROUNDUP(MONTH(C338)/3,0))</f>
        <v/>
      </c>
    </row>
    <row r="339">
      <c r="L339" s="5">
        <f>IF(C339="","",YEAR(C339)&amp;"-Q"&amp;ROUNDUP(MONTH(C339)/3,0))</f>
        <v/>
      </c>
    </row>
    <row r="340">
      <c r="L340" s="5">
        <f>IF(C340="","",YEAR(C340)&amp;"-Q"&amp;ROUNDUP(MONTH(C340)/3,0))</f>
        <v/>
      </c>
    </row>
    <row r="341">
      <c r="L341" s="5">
        <f>IF(C341="","",YEAR(C341)&amp;"-Q"&amp;ROUNDUP(MONTH(C341)/3,0))</f>
        <v/>
      </c>
    </row>
    <row r="342">
      <c r="L342" s="5">
        <f>IF(C342="","",YEAR(C342)&amp;"-Q"&amp;ROUNDUP(MONTH(C342)/3,0))</f>
        <v/>
      </c>
    </row>
    <row r="343">
      <c r="L343" s="5">
        <f>IF(C343="","",YEAR(C343)&amp;"-Q"&amp;ROUNDUP(MONTH(C343)/3,0))</f>
        <v/>
      </c>
    </row>
    <row r="344">
      <c r="L344" s="5">
        <f>IF(C344="","",YEAR(C344)&amp;"-Q"&amp;ROUNDUP(MONTH(C344)/3,0))</f>
        <v/>
      </c>
    </row>
    <row r="345">
      <c r="L345" s="5">
        <f>IF(C345="","",YEAR(C345)&amp;"-Q"&amp;ROUNDUP(MONTH(C345)/3,0))</f>
        <v/>
      </c>
    </row>
    <row r="346">
      <c r="L346" s="5">
        <f>IF(C346="","",YEAR(C346)&amp;"-Q"&amp;ROUNDUP(MONTH(C346)/3,0))</f>
        <v/>
      </c>
    </row>
    <row r="347">
      <c r="L347" s="5">
        <f>IF(C347="","",YEAR(C347)&amp;"-Q"&amp;ROUNDUP(MONTH(C347)/3,0))</f>
        <v/>
      </c>
    </row>
    <row r="348">
      <c r="L348" s="5">
        <f>IF(C348="","",YEAR(C348)&amp;"-Q"&amp;ROUNDUP(MONTH(C348)/3,0))</f>
        <v/>
      </c>
    </row>
    <row r="349">
      <c r="L349" s="5">
        <f>IF(C349="","",YEAR(C349)&amp;"-Q"&amp;ROUNDUP(MONTH(C349)/3,0))</f>
        <v/>
      </c>
    </row>
    <row r="350">
      <c r="L350" s="5">
        <f>IF(C350="","",YEAR(C350)&amp;"-Q"&amp;ROUNDUP(MONTH(C350)/3,0))</f>
        <v/>
      </c>
    </row>
    <row r="351">
      <c r="L351" s="5">
        <f>IF(C351="","",YEAR(C351)&amp;"-Q"&amp;ROUNDUP(MONTH(C351)/3,0))</f>
        <v/>
      </c>
    </row>
    <row r="352">
      <c r="L352" s="5">
        <f>IF(C352="","",YEAR(C352)&amp;"-Q"&amp;ROUNDUP(MONTH(C352)/3,0))</f>
        <v/>
      </c>
    </row>
    <row r="353">
      <c r="L353" s="5">
        <f>IF(C353="","",YEAR(C353)&amp;"-Q"&amp;ROUNDUP(MONTH(C353)/3,0))</f>
        <v/>
      </c>
    </row>
    <row r="354">
      <c r="L354" s="5">
        <f>IF(C354="","",YEAR(C354)&amp;"-Q"&amp;ROUNDUP(MONTH(C354)/3,0))</f>
        <v/>
      </c>
    </row>
    <row r="355">
      <c r="L355" s="5">
        <f>IF(C355="","",YEAR(C355)&amp;"-Q"&amp;ROUNDUP(MONTH(C355)/3,0))</f>
        <v/>
      </c>
    </row>
    <row r="356">
      <c r="L356" s="5">
        <f>IF(C356="","",YEAR(C356)&amp;"-Q"&amp;ROUNDUP(MONTH(C356)/3,0))</f>
        <v/>
      </c>
    </row>
    <row r="357">
      <c r="L357" s="5">
        <f>IF(C357="","",YEAR(C357)&amp;"-Q"&amp;ROUNDUP(MONTH(C357)/3,0))</f>
        <v/>
      </c>
    </row>
    <row r="358">
      <c r="L358" s="5">
        <f>IF(C358="","",YEAR(C358)&amp;"-Q"&amp;ROUNDUP(MONTH(C358)/3,0))</f>
        <v/>
      </c>
    </row>
    <row r="359">
      <c r="L359" s="5">
        <f>IF(C359="","",YEAR(C359)&amp;"-Q"&amp;ROUNDUP(MONTH(C359)/3,0))</f>
        <v/>
      </c>
    </row>
    <row r="360">
      <c r="L360" s="5">
        <f>IF(C360="","",YEAR(C360)&amp;"-Q"&amp;ROUNDUP(MONTH(C360)/3,0))</f>
        <v/>
      </c>
    </row>
    <row r="361">
      <c r="L361" s="5">
        <f>IF(C361="","",YEAR(C361)&amp;"-Q"&amp;ROUNDUP(MONTH(C361)/3,0))</f>
        <v/>
      </c>
    </row>
    <row r="362">
      <c r="L362" s="5">
        <f>IF(C362="","",YEAR(C362)&amp;"-Q"&amp;ROUNDUP(MONTH(C362)/3,0))</f>
        <v/>
      </c>
    </row>
    <row r="363">
      <c r="L363" s="5">
        <f>IF(C363="","",YEAR(C363)&amp;"-Q"&amp;ROUNDUP(MONTH(C363)/3,0))</f>
        <v/>
      </c>
    </row>
    <row r="364">
      <c r="L364" s="5">
        <f>IF(C364="","",YEAR(C364)&amp;"-Q"&amp;ROUNDUP(MONTH(C364)/3,0))</f>
        <v/>
      </c>
    </row>
    <row r="365">
      <c r="L365" s="5">
        <f>IF(C365="","",YEAR(C365)&amp;"-Q"&amp;ROUNDUP(MONTH(C365)/3,0))</f>
        <v/>
      </c>
    </row>
    <row r="366">
      <c r="L366" s="5">
        <f>IF(C366="","",YEAR(C366)&amp;"-Q"&amp;ROUNDUP(MONTH(C366)/3,0))</f>
        <v/>
      </c>
    </row>
    <row r="367">
      <c r="L367" s="5">
        <f>IF(C367="","",YEAR(C367)&amp;"-Q"&amp;ROUNDUP(MONTH(C367)/3,0))</f>
        <v/>
      </c>
    </row>
    <row r="368">
      <c r="L368" s="5">
        <f>IF(C368="","",YEAR(C368)&amp;"-Q"&amp;ROUNDUP(MONTH(C368)/3,0))</f>
        <v/>
      </c>
    </row>
    <row r="369">
      <c r="L369" s="5">
        <f>IF(C369="","",YEAR(C369)&amp;"-Q"&amp;ROUNDUP(MONTH(C369)/3,0))</f>
        <v/>
      </c>
    </row>
    <row r="370">
      <c r="L370" s="5">
        <f>IF(C370="","",YEAR(C370)&amp;"-Q"&amp;ROUNDUP(MONTH(C370)/3,0))</f>
        <v/>
      </c>
    </row>
    <row r="371">
      <c r="L371" s="5">
        <f>IF(C371="","",YEAR(C371)&amp;"-Q"&amp;ROUNDUP(MONTH(C371)/3,0))</f>
        <v/>
      </c>
    </row>
    <row r="372">
      <c r="L372" s="5">
        <f>IF(C372="","",YEAR(C372)&amp;"-Q"&amp;ROUNDUP(MONTH(C372)/3,0))</f>
        <v/>
      </c>
    </row>
    <row r="373">
      <c r="L373" s="5">
        <f>IF(C373="","",YEAR(C373)&amp;"-Q"&amp;ROUNDUP(MONTH(C373)/3,0))</f>
        <v/>
      </c>
    </row>
    <row r="374">
      <c r="L374" s="5">
        <f>IF(C374="","",YEAR(C374)&amp;"-Q"&amp;ROUNDUP(MONTH(C374)/3,0))</f>
        <v/>
      </c>
    </row>
    <row r="375">
      <c r="L375" s="5">
        <f>IF(C375="","",YEAR(C375)&amp;"-Q"&amp;ROUNDUP(MONTH(C375)/3,0))</f>
        <v/>
      </c>
    </row>
    <row r="376">
      <c r="L376" s="5">
        <f>IF(C376="","",YEAR(C376)&amp;"-Q"&amp;ROUNDUP(MONTH(C376)/3,0))</f>
        <v/>
      </c>
    </row>
    <row r="377">
      <c r="L377" s="5">
        <f>IF(C377="","",YEAR(C377)&amp;"-Q"&amp;ROUNDUP(MONTH(C377)/3,0))</f>
        <v/>
      </c>
    </row>
    <row r="378">
      <c r="L378" s="5">
        <f>IF(C378="","",YEAR(C378)&amp;"-Q"&amp;ROUNDUP(MONTH(C378)/3,0))</f>
        <v/>
      </c>
    </row>
    <row r="379">
      <c r="L379" s="5">
        <f>IF(C379="","",YEAR(C379)&amp;"-Q"&amp;ROUNDUP(MONTH(C379)/3,0))</f>
        <v/>
      </c>
    </row>
    <row r="380">
      <c r="L380" s="5">
        <f>IF(C380="","",YEAR(C380)&amp;"-Q"&amp;ROUNDUP(MONTH(C380)/3,0))</f>
        <v/>
      </c>
    </row>
    <row r="381">
      <c r="L381" s="5">
        <f>IF(C381="","",YEAR(C381)&amp;"-Q"&amp;ROUNDUP(MONTH(C381)/3,0))</f>
        <v/>
      </c>
    </row>
    <row r="382">
      <c r="L382" s="5">
        <f>IF(C382="","",YEAR(C382)&amp;"-Q"&amp;ROUNDUP(MONTH(C382)/3,0))</f>
        <v/>
      </c>
    </row>
    <row r="383">
      <c r="L383" s="5">
        <f>IF(C383="","",YEAR(C383)&amp;"-Q"&amp;ROUNDUP(MONTH(C383)/3,0))</f>
        <v/>
      </c>
    </row>
    <row r="384">
      <c r="L384" s="5">
        <f>IF(C384="","",YEAR(C384)&amp;"-Q"&amp;ROUNDUP(MONTH(C384)/3,0))</f>
        <v/>
      </c>
    </row>
    <row r="385">
      <c r="L385" s="5">
        <f>IF(C385="","",YEAR(C385)&amp;"-Q"&amp;ROUNDUP(MONTH(C385)/3,0))</f>
        <v/>
      </c>
    </row>
    <row r="386">
      <c r="L386" s="5">
        <f>IF(C386="","",YEAR(C386)&amp;"-Q"&amp;ROUNDUP(MONTH(C386)/3,0))</f>
        <v/>
      </c>
    </row>
    <row r="387">
      <c r="L387" s="5">
        <f>IF(C387="","",YEAR(C387)&amp;"-Q"&amp;ROUNDUP(MONTH(C387)/3,0))</f>
        <v/>
      </c>
    </row>
    <row r="388">
      <c r="L388" s="5">
        <f>IF(C388="","",YEAR(C388)&amp;"-Q"&amp;ROUNDUP(MONTH(C388)/3,0))</f>
        <v/>
      </c>
    </row>
    <row r="389">
      <c r="L389" s="5">
        <f>IF(C389="","",YEAR(C389)&amp;"-Q"&amp;ROUNDUP(MONTH(C389)/3,0))</f>
        <v/>
      </c>
    </row>
    <row r="390">
      <c r="L390" s="5">
        <f>IF(C390="","",YEAR(C390)&amp;"-Q"&amp;ROUNDUP(MONTH(C390)/3,0))</f>
        <v/>
      </c>
    </row>
    <row r="391">
      <c r="L391" s="5">
        <f>IF(C391="","",YEAR(C391)&amp;"-Q"&amp;ROUNDUP(MONTH(C391)/3,0))</f>
        <v/>
      </c>
    </row>
    <row r="392">
      <c r="L392" s="5">
        <f>IF(C392="","",YEAR(C392)&amp;"-Q"&amp;ROUNDUP(MONTH(C392)/3,0))</f>
        <v/>
      </c>
    </row>
    <row r="393">
      <c r="L393" s="5">
        <f>IF(C393="","",YEAR(C393)&amp;"-Q"&amp;ROUNDUP(MONTH(C393)/3,0))</f>
        <v/>
      </c>
    </row>
    <row r="394">
      <c r="L394" s="5">
        <f>IF(C394="","",YEAR(C394)&amp;"-Q"&amp;ROUNDUP(MONTH(C394)/3,0))</f>
        <v/>
      </c>
    </row>
    <row r="395">
      <c r="L395" s="5">
        <f>IF(C395="","",YEAR(C395)&amp;"-Q"&amp;ROUNDUP(MONTH(C395)/3,0))</f>
        <v/>
      </c>
    </row>
    <row r="396">
      <c r="L396" s="5">
        <f>IF(C396="","",YEAR(C396)&amp;"-Q"&amp;ROUNDUP(MONTH(C396)/3,0))</f>
        <v/>
      </c>
    </row>
    <row r="397">
      <c r="L397" s="5">
        <f>IF(C397="","",YEAR(C397)&amp;"-Q"&amp;ROUNDUP(MONTH(C397)/3,0))</f>
        <v/>
      </c>
    </row>
    <row r="398">
      <c r="L398" s="5">
        <f>IF(C398="","",YEAR(C398)&amp;"-Q"&amp;ROUNDUP(MONTH(C398)/3,0))</f>
        <v/>
      </c>
    </row>
    <row r="399">
      <c r="L399" s="5">
        <f>IF(C399="","",YEAR(C399)&amp;"-Q"&amp;ROUNDUP(MONTH(C399)/3,0))</f>
        <v/>
      </c>
    </row>
    <row r="400">
      <c r="L400" s="5">
        <f>IF(C400="","",YEAR(C400)&amp;"-Q"&amp;ROUNDUP(MONTH(C400)/3,0))</f>
        <v/>
      </c>
    </row>
    <row r="401">
      <c r="L401" s="5">
        <f>IF(C401="","",YEAR(C401)&amp;"-Q"&amp;ROUNDUP(MONTH(C401)/3,0))</f>
        <v/>
      </c>
    </row>
    <row r="402">
      <c r="L402" s="5">
        <f>IF(C402="","",YEAR(C402)&amp;"-Q"&amp;ROUNDUP(MONTH(C402)/3,0))</f>
        <v/>
      </c>
    </row>
    <row r="403">
      <c r="L403" s="5">
        <f>IF(C403="","",YEAR(C403)&amp;"-Q"&amp;ROUNDUP(MONTH(C403)/3,0))</f>
        <v/>
      </c>
    </row>
    <row r="404">
      <c r="L404" s="5">
        <f>IF(C404="","",YEAR(C404)&amp;"-Q"&amp;ROUNDUP(MONTH(C404)/3,0))</f>
        <v/>
      </c>
    </row>
    <row r="405">
      <c r="L405" s="5">
        <f>IF(C405="","",YEAR(C405)&amp;"-Q"&amp;ROUNDUP(MONTH(C405)/3,0))</f>
        <v/>
      </c>
    </row>
    <row r="406">
      <c r="L406" s="5">
        <f>IF(C406="","",YEAR(C406)&amp;"-Q"&amp;ROUNDUP(MONTH(C406)/3,0))</f>
        <v/>
      </c>
    </row>
    <row r="407">
      <c r="L407" s="5">
        <f>IF(C407="","",YEAR(C407)&amp;"-Q"&amp;ROUNDUP(MONTH(C407)/3,0))</f>
        <v/>
      </c>
    </row>
    <row r="408">
      <c r="L408" s="5">
        <f>IF(C408="","",YEAR(C408)&amp;"-Q"&amp;ROUNDUP(MONTH(C408)/3,0))</f>
        <v/>
      </c>
    </row>
    <row r="409">
      <c r="L409" s="5">
        <f>IF(C409="","",YEAR(C409)&amp;"-Q"&amp;ROUNDUP(MONTH(C409)/3,0))</f>
        <v/>
      </c>
    </row>
    <row r="410">
      <c r="L410" s="5">
        <f>IF(C410="","",YEAR(C410)&amp;"-Q"&amp;ROUNDUP(MONTH(C410)/3,0))</f>
        <v/>
      </c>
    </row>
    <row r="411">
      <c r="L411" s="5">
        <f>IF(C411="","",YEAR(C411)&amp;"-Q"&amp;ROUNDUP(MONTH(C411)/3,0))</f>
        <v/>
      </c>
    </row>
    <row r="412">
      <c r="L412" s="5">
        <f>IF(C412="","",YEAR(C412)&amp;"-Q"&amp;ROUNDUP(MONTH(C412)/3,0))</f>
        <v/>
      </c>
    </row>
    <row r="413">
      <c r="L413" s="5">
        <f>IF(C413="","",YEAR(C413)&amp;"-Q"&amp;ROUNDUP(MONTH(C413)/3,0))</f>
        <v/>
      </c>
    </row>
    <row r="414">
      <c r="L414" s="5">
        <f>IF(C414="","",YEAR(C414)&amp;"-Q"&amp;ROUNDUP(MONTH(C414)/3,0))</f>
        <v/>
      </c>
    </row>
    <row r="415">
      <c r="L415" s="5">
        <f>IF(C415="","",YEAR(C415)&amp;"-Q"&amp;ROUNDUP(MONTH(C415)/3,0))</f>
        <v/>
      </c>
    </row>
    <row r="416">
      <c r="L416" s="5">
        <f>IF(C416="","",YEAR(C416)&amp;"-Q"&amp;ROUNDUP(MONTH(C416)/3,0))</f>
        <v/>
      </c>
    </row>
    <row r="417">
      <c r="L417" s="5">
        <f>IF(C417="","",YEAR(C417)&amp;"-Q"&amp;ROUNDUP(MONTH(C417)/3,0))</f>
        <v/>
      </c>
    </row>
    <row r="418">
      <c r="L418" s="5">
        <f>IF(C418="","",YEAR(C418)&amp;"-Q"&amp;ROUNDUP(MONTH(C418)/3,0))</f>
        <v/>
      </c>
    </row>
    <row r="419">
      <c r="L419" s="5">
        <f>IF(C419="","",YEAR(C419)&amp;"-Q"&amp;ROUNDUP(MONTH(C419)/3,0))</f>
        <v/>
      </c>
    </row>
    <row r="420">
      <c r="L420" s="5">
        <f>IF(C420="","",YEAR(C420)&amp;"-Q"&amp;ROUNDUP(MONTH(C420)/3,0))</f>
        <v/>
      </c>
    </row>
    <row r="421">
      <c r="L421" s="5">
        <f>IF(C421="","",YEAR(C421)&amp;"-Q"&amp;ROUNDUP(MONTH(C421)/3,0))</f>
        <v/>
      </c>
    </row>
    <row r="422">
      <c r="L422" s="5">
        <f>IF(C422="","",YEAR(C422)&amp;"-Q"&amp;ROUNDUP(MONTH(C422)/3,0))</f>
        <v/>
      </c>
    </row>
    <row r="423">
      <c r="L423" s="5">
        <f>IF(C423="","",YEAR(C423)&amp;"-Q"&amp;ROUNDUP(MONTH(C423)/3,0))</f>
        <v/>
      </c>
    </row>
    <row r="424">
      <c r="L424" s="5">
        <f>IF(C424="","",YEAR(C424)&amp;"-Q"&amp;ROUNDUP(MONTH(C424)/3,0))</f>
        <v/>
      </c>
    </row>
    <row r="425">
      <c r="L425" s="5">
        <f>IF(C425="","",YEAR(C425)&amp;"-Q"&amp;ROUNDUP(MONTH(C425)/3,0))</f>
        <v/>
      </c>
    </row>
    <row r="426">
      <c r="L426" s="5">
        <f>IF(C426="","",YEAR(C426)&amp;"-Q"&amp;ROUNDUP(MONTH(C426)/3,0))</f>
        <v/>
      </c>
    </row>
    <row r="427">
      <c r="L427" s="5">
        <f>IF(C427="","",YEAR(C427)&amp;"-Q"&amp;ROUNDUP(MONTH(C427)/3,0))</f>
        <v/>
      </c>
    </row>
    <row r="428">
      <c r="L428" s="5">
        <f>IF(C428="","",YEAR(C428)&amp;"-Q"&amp;ROUNDUP(MONTH(C428)/3,0))</f>
        <v/>
      </c>
    </row>
    <row r="429">
      <c r="L429" s="5">
        <f>IF(C429="","",YEAR(C429)&amp;"-Q"&amp;ROUNDUP(MONTH(C429)/3,0))</f>
        <v/>
      </c>
    </row>
    <row r="430">
      <c r="L430" s="5">
        <f>IF(C430="","",YEAR(C430)&amp;"-Q"&amp;ROUNDUP(MONTH(C430)/3,0))</f>
        <v/>
      </c>
    </row>
    <row r="431">
      <c r="L431" s="5">
        <f>IF(C431="","",YEAR(C431)&amp;"-Q"&amp;ROUNDUP(MONTH(C431)/3,0))</f>
        <v/>
      </c>
    </row>
    <row r="432">
      <c r="L432" s="5">
        <f>IF(C432="","",YEAR(C432)&amp;"-Q"&amp;ROUNDUP(MONTH(C432)/3,0))</f>
        <v/>
      </c>
    </row>
    <row r="433">
      <c r="L433" s="5">
        <f>IF(C433="","",YEAR(C433)&amp;"-Q"&amp;ROUNDUP(MONTH(C433)/3,0))</f>
        <v/>
      </c>
    </row>
    <row r="434">
      <c r="L434" s="5">
        <f>IF(C434="","",YEAR(C434)&amp;"-Q"&amp;ROUNDUP(MONTH(C434)/3,0))</f>
        <v/>
      </c>
    </row>
    <row r="435">
      <c r="L435" s="5">
        <f>IF(C435="","",YEAR(C435)&amp;"-Q"&amp;ROUNDUP(MONTH(C435)/3,0))</f>
        <v/>
      </c>
    </row>
    <row r="436">
      <c r="L436" s="5">
        <f>IF(C436="","",YEAR(C436)&amp;"-Q"&amp;ROUNDUP(MONTH(C436)/3,0))</f>
        <v/>
      </c>
    </row>
    <row r="437">
      <c r="L437" s="5">
        <f>IF(C437="","",YEAR(C437)&amp;"-Q"&amp;ROUNDUP(MONTH(C437)/3,0))</f>
        <v/>
      </c>
    </row>
    <row r="438">
      <c r="L438" s="5">
        <f>IF(C438="","",YEAR(C438)&amp;"-Q"&amp;ROUNDUP(MONTH(C438)/3,0))</f>
        <v/>
      </c>
    </row>
    <row r="439">
      <c r="L439" s="5">
        <f>IF(C439="","",YEAR(C439)&amp;"-Q"&amp;ROUNDUP(MONTH(C439)/3,0))</f>
        <v/>
      </c>
    </row>
    <row r="440">
      <c r="L440" s="5">
        <f>IF(C440="","",YEAR(C440)&amp;"-Q"&amp;ROUNDUP(MONTH(C440)/3,0))</f>
        <v/>
      </c>
    </row>
    <row r="441">
      <c r="L441" s="5">
        <f>IF(C441="","",YEAR(C441)&amp;"-Q"&amp;ROUNDUP(MONTH(C441)/3,0))</f>
        <v/>
      </c>
    </row>
    <row r="442">
      <c r="L442" s="5">
        <f>IF(C442="","",YEAR(C442)&amp;"-Q"&amp;ROUNDUP(MONTH(C442)/3,0))</f>
        <v/>
      </c>
    </row>
    <row r="443">
      <c r="L443" s="5">
        <f>IF(C443="","",YEAR(C443)&amp;"-Q"&amp;ROUNDUP(MONTH(C443)/3,0))</f>
        <v/>
      </c>
    </row>
    <row r="444">
      <c r="L444" s="5">
        <f>IF(C444="","",YEAR(C444)&amp;"-Q"&amp;ROUNDUP(MONTH(C444)/3,0))</f>
        <v/>
      </c>
    </row>
    <row r="445">
      <c r="L445" s="5">
        <f>IF(C445="","",YEAR(C445)&amp;"-Q"&amp;ROUNDUP(MONTH(C445)/3,0))</f>
        <v/>
      </c>
    </row>
    <row r="446">
      <c r="L446" s="5">
        <f>IF(C446="","",YEAR(C446)&amp;"-Q"&amp;ROUNDUP(MONTH(C446)/3,0))</f>
        <v/>
      </c>
    </row>
    <row r="447">
      <c r="L447" s="5">
        <f>IF(C447="","",YEAR(C447)&amp;"-Q"&amp;ROUNDUP(MONTH(C447)/3,0))</f>
        <v/>
      </c>
    </row>
    <row r="448">
      <c r="L448" s="5">
        <f>IF(C448="","",YEAR(C448)&amp;"-Q"&amp;ROUNDUP(MONTH(C448)/3,0))</f>
        <v/>
      </c>
    </row>
    <row r="449">
      <c r="L449" s="5">
        <f>IF(C449="","",YEAR(C449)&amp;"-Q"&amp;ROUNDUP(MONTH(C449)/3,0))</f>
        <v/>
      </c>
    </row>
    <row r="450">
      <c r="L450" s="5">
        <f>IF(C450="","",YEAR(C450)&amp;"-Q"&amp;ROUNDUP(MONTH(C450)/3,0))</f>
        <v/>
      </c>
    </row>
    <row r="451">
      <c r="L451" s="5">
        <f>IF(C451="","",YEAR(C451)&amp;"-Q"&amp;ROUNDUP(MONTH(C451)/3,0))</f>
        <v/>
      </c>
    </row>
    <row r="452">
      <c r="L452" s="5">
        <f>IF(C452="","",YEAR(C452)&amp;"-Q"&amp;ROUNDUP(MONTH(C452)/3,0))</f>
        <v/>
      </c>
    </row>
    <row r="453">
      <c r="L453" s="5">
        <f>IF(C453="","",YEAR(C453)&amp;"-Q"&amp;ROUNDUP(MONTH(C453)/3,0))</f>
        <v/>
      </c>
    </row>
    <row r="454">
      <c r="L454" s="5">
        <f>IF(C454="","",YEAR(C454)&amp;"-Q"&amp;ROUNDUP(MONTH(C454)/3,0))</f>
        <v/>
      </c>
    </row>
    <row r="455">
      <c r="L455" s="5">
        <f>IF(C455="","",YEAR(C455)&amp;"-Q"&amp;ROUNDUP(MONTH(C455)/3,0))</f>
        <v/>
      </c>
    </row>
    <row r="456">
      <c r="L456" s="5">
        <f>IF(C456="","",YEAR(C456)&amp;"-Q"&amp;ROUNDUP(MONTH(C456)/3,0))</f>
        <v/>
      </c>
    </row>
    <row r="457">
      <c r="L457" s="5">
        <f>IF(C457="","",YEAR(C457)&amp;"-Q"&amp;ROUNDUP(MONTH(C457)/3,0))</f>
        <v/>
      </c>
    </row>
    <row r="458">
      <c r="L458" s="5">
        <f>IF(C458="","",YEAR(C458)&amp;"-Q"&amp;ROUNDUP(MONTH(C458)/3,0))</f>
        <v/>
      </c>
    </row>
    <row r="459">
      <c r="L459" s="5">
        <f>IF(C459="","",YEAR(C459)&amp;"-Q"&amp;ROUNDUP(MONTH(C459)/3,0))</f>
        <v/>
      </c>
    </row>
    <row r="460">
      <c r="L460" s="5">
        <f>IF(C460="","",YEAR(C460)&amp;"-Q"&amp;ROUNDUP(MONTH(C460)/3,0))</f>
        <v/>
      </c>
    </row>
    <row r="461">
      <c r="L461" s="5">
        <f>IF(C461="","",YEAR(C461)&amp;"-Q"&amp;ROUNDUP(MONTH(C461)/3,0))</f>
        <v/>
      </c>
    </row>
    <row r="462">
      <c r="L462" s="5">
        <f>IF(C462="","",YEAR(C462)&amp;"-Q"&amp;ROUNDUP(MONTH(C462)/3,0))</f>
        <v/>
      </c>
    </row>
    <row r="463">
      <c r="L463" s="5">
        <f>IF(C463="","",YEAR(C463)&amp;"-Q"&amp;ROUNDUP(MONTH(C463)/3,0))</f>
        <v/>
      </c>
    </row>
    <row r="464">
      <c r="L464" s="5">
        <f>IF(C464="","",YEAR(C464)&amp;"-Q"&amp;ROUNDUP(MONTH(C464)/3,0))</f>
        <v/>
      </c>
    </row>
    <row r="465">
      <c r="L465" s="5">
        <f>IF(C465="","",YEAR(C465)&amp;"-Q"&amp;ROUNDUP(MONTH(C465)/3,0))</f>
        <v/>
      </c>
    </row>
    <row r="466">
      <c r="L466" s="5">
        <f>IF(C466="","",YEAR(C466)&amp;"-Q"&amp;ROUNDUP(MONTH(C466)/3,0))</f>
        <v/>
      </c>
    </row>
    <row r="467">
      <c r="L467" s="5">
        <f>IF(C467="","",YEAR(C467)&amp;"-Q"&amp;ROUNDUP(MONTH(C467)/3,0))</f>
        <v/>
      </c>
    </row>
    <row r="468">
      <c r="L468" s="5">
        <f>IF(C468="","",YEAR(C468)&amp;"-Q"&amp;ROUNDUP(MONTH(C468)/3,0))</f>
        <v/>
      </c>
    </row>
    <row r="469">
      <c r="L469" s="5">
        <f>IF(C469="","",YEAR(C469)&amp;"-Q"&amp;ROUNDUP(MONTH(C469)/3,0))</f>
        <v/>
      </c>
    </row>
    <row r="470">
      <c r="L470" s="5">
        <f>IF(C470="","",YEAR(C470)&amp;"-Q"&amp;ROUNDUP(MONTH(C470)/3,0))</f>
        <v/>
      </c>
    </row>
    <row r="471">
      <c r="L471" s="5">
        <f>IF(C471="","",YEAR(C471)&amp;"-Q"&amp;ROUNDUP(MONTH(C471)/3,0))</f>
        <v/>
      </c>
    </row>
    <row r="472">
      <c r="L472" s="5">
        <f>IF(C472="","",YEAR(C472)&amp;"-Q"&amp;ROUNDUP(MONTH(C472)/3,0))</f>
        <v/>
      </c>
    </row>
    <row r="473">
      <c r="L473" s="5">
        <f>IF(C473="","",YEAR(C473)&amp;"-Q"&amp;ROUNDUP(MONTH(C473)/3,0))</f>
        <v/>
      </c>
    </row>
    <row r="474">
      <c r="L474" s="5">
        <f>IF(C474="","",YEAR(C474)&amp;"-Q"&amp;ROUNDUP(MONTH(C474)/3,0))</f>
        <v/>
      </c>
    </row>
    <row r="475">
      <c r="L475" s="5">
        <f>IF(C475="","",YEAR(C475)&amp;"-Q"&amp;ROUNDUP(MONTH(C475)/3,0))</f>
        <v/>
      </c>
    </row>
    <row r="476">
      <c r="L476" s="5">
        <f>IF(C476="","",YEAR(C476)&amp;"-Q"&amp;ROUNDUP(MONTH(C476)/3,0))</f>
        <v/>
      </c>
    </row>
    <row r="477">
      <c r="L477" s="5">
        <f>IF(C477="","",YEAR(C477)&amp;"-Q"&amp;ROUNDUP(MONTH(C477)/3,0))</f>
        <v/>
      </c>
    </row>
    <row r="478">
      <c r="L478" s="5">
        <f>IF(C478="","",YEAR(C478)&amp;"-Q"&amp;ROUNDUP(MONTH(C478)/3,0))</f>
        <v/>
      </c>
    </row>
    <row r="479">
      <c r="L479" s="5">
        <f>IF(C479="","",YEAR(C479)&amp;"-Q"&amp;ROUNDUP(MONTH(C479)/3,0))</f>
        <v/>
      </c>
    </row>
    <row r="480">
      <c r="L480" s="5">
        <f>IF(C480="","",YEAR(C480)&amp;"-Q"&amp;ROUNDUP(MONTH(C480)/3,0))</f>
        <v/>
      </c>
    </row>
    <row r="481">
      <c r="L481" s="5">
        <f>IF(C481="","",YEAR(C481)&amp;"-Q"&amp;ROUNDUP(MONTH(C481)/3,0))</f>
        <v/>
      </c>
    </row>
    <row r="482">
      <c r="L482" s="5">
        <f>IF(C482="","",YEAR(C482)&amp;"-Q"&amp;ROUNDUP(MONTH(C482)/3,0))</f>
        <v/>
      </c>
    </row>
    <row r="483">
      <c r="L483" s="5">
        <f>IF(C483="","",YEAR(C483)&amp;"-Q"&amp;ROUNDUP(MONTH(C483)/3,0))</f>
        <v/>
      </c>
    </row>
    <row r="484">
      <c r="L484" s="5">
        <f>IF(C484="","",YEAR(C484)&amp;"-Q"&amp;ROUNDUP(MONTH(C484)/3,0))</f>
        <v/>
      </c>
    </row>
    <row r="485">
      <c r="L485" s="5">
        <f>IF(C485="","",YEAR(C485)&amp;"-Q"&amp;ROUNDUP(MONTH(C485)/3,0))</f>
        <v/>
      </c>
    </row>
    <row r="486">
      <c r="L486" s="5">
        <f>IF(C486="","",YEAR(C486)&amp;"-Q"&amp;ROUNDUP(MONTH(C486)/3,0))</f>
        <v/>
      </c>
    </row>
    <row r="487">
      <c r="L487" s="5">
        <f>IF(C487="","",YEAR(C487)&amp;"-Q"&amp;ROUNDUP(MONTH(C487)/3,0))</f>
        <v/>
      </c>
    </row>
    <row r="488">
      <c r="L488" s="5">
        <f>IF(C488="","",YEAR(C488)&amp;"-Q"&amp;ROUNDUP(MONTH(C488)/3,0))</f>
        <v/>
      </c>
    </row>
    <row r="489">
      <c r="L489" s="5">
        <f>IF(C489="","",YEAR(C489)&amp;"-Q"&amp;ROUNDUP(MONTH(C489)/3,0))</f>
        <v/>
      </c>
    </row>
    <row r="490">
      <c r="L490" s="5">
        <f>IF(C490="","",YEAR(C490)&amp;"-Q"&amp;ROUNDUP(MONTH(C490)/3,0))</f>
        <v/>
      </c>
    </row>
    <row r="491">
      <c r="L491" s="5">
        <f>IF(C491="","",YEAR(C491)&amp;"-Q"&amp;ROUNDUP(MONTH(C491)/3,0))</f>
        <v/>
      </c>
    </row>
    <row r="492">
      <c r="L492" s="5">
        <f>IF(C492="","",YEAR(C492)&amp;"-Q"&amp;ROUNDUP(MONTH(C492)/3,0))</f>
        <v/>
      </c>
    </row>
    <row r="493">
      <c r="L493" s="5">
        <f>IF(C493="","",YEAR(C493)&amp;"-Q"&amp;ROUNDUP(MONTH(C493)/3,0))</f>
        <v/>
      </c>
    </row>
    <row r="494">
      <c r="L494" s="5">
        <f>IF(C494="","",YEAR(C494)&amp;"-Q"&amp;ROUNDUP(MONTH(C494)/3,0))</f>
        <v/>
      </c>
    </row>
    <row r="495">
      <c r="L495" s="5">
        <f>IF(C495="","",YEAR(C495)&amp;"-Q"&amp;ROUNDUP(MONTH(C495)/3,0))</f>
        <v/>
      </c>
    </row>
    <row r="496">
      <c r="L496" s="5">
        <f>IF(C496="","",YEAR(C496)&amp;"-Q"&amp;ROUNDUP(MONTH(C496)/3,0))</f>
        <v/>
      </c>
    </row>
    <row r="497">
      <c r="L497" s="5">
        <f>IF(C497="","",YEAR(C497)&amp;"-Q"&amp;ROUNDUP(MONTH(C497)/3,0))</f>
        <v/>
      </c>
    </row>
    <row r="498">
      <c r="L498" s="5">
        <f>IF(C498="","",YEAR(C498)&amp;"-Q"&amp;ROUNDUP(MONTH(C498)/3,0))</f>
        <v/>
      </c>
    </row>
    <row r="499">
      <c r="L499" s="5">
        <f>IF(C499="","",YEAR(C499)&amp;"-Q"&amp;ROUNDUP(MONTH(C499)/3,0))</f>
        <v/>
      </c>
    </row>
    <row r="500">
      <c r="L500" s="5">
        <f>IF(C500="","",YEAR(C500)&amp;"-Q"&amp;ROUNDUP(MONTH(C500)/3,0))</f>
        <v/>
      </c>
    </row>
    <row r="501">
      <c r="L501" s="5">
        <f>IF(C501="","",YEAR(C501)&amp;"-Q"&amp;ROUNDUP(MONTH(C501)/3,0))</f>
        <v/>
      </c>
    </row>
    <row r="502">
      <c r="L502" s="5">
        <f>IF(C502="","",YEAR(C502)&amp;"-Q"&amp;ROUNDUP(MONTH(C502)/3,0))</f>
        <v/>
      </c>
    </row>
    <row r="503">
      <c r="L503" s="5">
        <f>IF(C503="","",YEAR(C503)&amp;"-Q"&amp;ROUNDUP(MONTH(C503)/3,0))</f>
        <v/>
      </c>
    </row>
    <row r="504">
      <c r="L504" s="5">
        <f>IF(C504="","",YEAR(C504)&amp;"-Q"&amp;ROUNDUP(MONTH(C504)/3,0))</f>
        <v/>
      </c>
    </row>
    <row r="505">
      <c r="L505" s="5">
        <f>IF(C505="","",YEAR(C505)&amp;"-Q"&amp;ROUNDUP(MONTH(C505)/3,0))</f>
        <v/>
      </c>
    </row>
    <row r="506">
      <c r="L506" s="5">
        <f>IF(C506="","",YEAR(C506)&amp;"-Q"&amp;ROUNDUP(MONTH(C506)/3,0))</f>
        <v/>
      </c>
    </row>
    <row r="507">
      <c r="L507" s="5">
        <f>IF(C507="","",YEAR(C507)&amp;"-Q"&amp;ROUNDUP(MONTH(C507)/3,0))</f>
        <v/>
      </c>
    </row>
    <row r="508">
      <c r="L508" s="5">
        <f>IF(C508="","",YEAR(C508)&amp;"-Q"&amp;ROUNDUP(MONTH(C508)/3,0))</f>
        <v/>
      </c>
    </row>
    <row r="509">
      <c r="L509" s="5">
        <f>IF(C509="","",YEAR(C509)&amp;"-Q"&amp;ROUNDUP(MONTH(C509)/3,0))</f>
        <v/>
      </c>
    </row>
    <row r="510">
      <c r="L510" s="5">
        <f>IF(C510="","",YEAR(C510)&amp;"-Q"&amp;ROUNDUP(MONTH(C510)/3,0))</f>
        <v/>
      </c>
    </row>
    <row r="511">
      <c r="L511" s="5">
        <f>IF(C511="","",YEAR(C511)&amp;"-Q"&amp;ROUNDUP(MONTH(C511)/3,0))</f>
        <v/>
      </c>
    </row>
    <row r="512">
      <c r="L512" s="5">
        <f>IF(C512="","",YEAR(C512)&amp;"-Q"&amp;ROUNDUP(MONTH(C512)/3,0))</f>
        <v/>
      </c>
    </row>
    <row r="513">
      <c r="L513" s="5">
        <f>IF(C513="","",YEAR(C513)&amp;"-Q"&amp;ROUNDUP(MONTH(C513)/3,0))</f>
        <v/>
      </c>
    </row>
    <row r="514">
      <c r="L514" s="5">
        <f>IF(C514="","",YEAR(C514)&amp;"-Q"&amp;ROUNDUP(MONTH(C514)/3,0))</f>
        <v/>
      </c>
    </row>
    <row r="515">
      <c r="L515" s="5">
        <f>IF(C515="","",YEAR(C515)&amp;"-Q"&amp;ROUNDUP(MONTH(C515)/3,0))</f>
        <v/>
      </c>
    </row>
    <row r="516">
      <c r="L516" s="5">
        <f>IF(C516="","",YEAR(C516)&amp;"-Q"&amp;ROUNDUP(MONTH(C516)/3,0))</f>
        <v/>
      </c>
    </row>
    <row r="517">
      <c r="L517" s="5">
        <f>IF(C517="","",YEAR(C517)&amp;"-Q"&amp;ROUNDUP(MONTH(C517)/3,0))</f>
        <v/>
      </c>
    </row>
    <row r="518">
      <c r="L518" s="5">
        <f>IF(C518="","",YEAR(C518)&amp;"-Q"&amp;ROUNDUP(MONTH(C518)/3,0))</f>
        <v/>
      </c>
    </row>
    <row r="519">
      <c r="L519" s="5">
        <f>IF(C519="","",YEAR(C519)&amp;"-Q"&amp;ROUNDUP(MONTH(C519)/3,0))</f>
        <v/>
      </c>
    </row>
    <row r="520">
      <c r="L520" s="5">
        <f>IF(C520="","",YEAR(C520)&amp;"-Q"&amp;ROUNDUP(MONTH(C520)/3,0))</f>
        <v/>
      </c>
    </row>
    <row r="521">
      <c r="L521" s="5">
        <f>IF(C521="","",YEAR(C521)&amp;"-Q"&amp;ROUNDUP(MONTH(C521)/3,0))</f>
        <v/>
      </c>
    </row>
    <row r="522">
      <c r="L522" s="5">
        <f>IF(C522="","",YEAR(C522)&amp;"-Q"&amp;ROUNDUP(MONTH(C522)/3,0))</f>
        <v/>
      </c>
    </row>
    <row r="523">
      <c r="L523" s="5">
        <f>IF(C523="","",YEAR(C523)&amp;"-Q"&amp;ROUNDUP(MONTH(C523)/3,0))</f>
        <v/>
      </c>
    </row>
    <row r="524">
      <c r="L524" s="5">
        <f>IF(C524="","",YEAR(C524)&amp;"-Q"&amp;ROUNDUP(MONTH(C524)/3,0))</f>
        <v/>
      </c>
    </row>
    <row r="525">
      <c r="L525" s="5">
        <f>IF(C525="","",YEAR(C525)&amp;"-Q"&amp;ROUNDUP(MONTH(C525)/3,0))</f>
        <v/>
      </c>
    </row>
    <row r="526">
      <c r="L526" s="5">
        <f>IF(C526="","",YEAR(C526)&amp;"-Q"&amp;ROUNDUP(MONTH(C526)/3,0))</f>
        <v/>
      </c>
    </row>
    <row r="527">
      <c r="L527" s="5">
        <f>IF(C527="","",YEAR(C527)&amp;"-Q"&amp;ROUNDUP(MONTH(C527)/3,0))</f>
        <v/>
      </c>
    </row>
    <row r="528">
      <c r="L528" s="5">
        <f>IF(C528="","",YEAR(C528)&amp;"-Q"&amp;ROUNDUP(MONTH(C528)/3,0))</f>
        <v/>
      </c>
    </row>
    <row r="529">
      <c r="L529" s="5">
        <f>IF(C529="","",YEAR(C529)&amp;"-Q"&amp;ROUNDUP(MONTH(C529)/3,0))</f>
        <v/>
      </c>
    </row>
    <row r="530">
      <c r="L530" s="5">
        <f>IF(C530="","",YEAR(C530)&amp;"-Q"&amp;ROUNDUP(MONTH(C530)/3,0))</f>
        <v/>
      </c>
    </row>
    <row r="531">
      <c r="L531" s="5">
        <f>IF(C531="","",YEAR(C531)&amp;"-Q"&amp;ROUNDUP(MONTH(C531)/3,0))</f>
        <v/>
      </c>
    </row>
    <row r="532">
      <c r="L532" s="5">
        <f>IF(C532="","",YEAR(C532)&amp;"-Q"&amp;ROUNDUP(MONTH(C532)/3,0))</f>
        <v/>
      </c>
    </row>
    <row r="533">
      <c r="L533" s="5">
        <f>IF(C533="","",YEAR(C533)&amp;"-Q"&amp;ROUNDUP(MONTH(C533)/3,0))</f>
        <v/>
      </c>
    </row>
    <row r="534">
      <c r="L534" s="5">
        <f>IF(C534="","",YEAR(C534)&amp;"-Q"&amp;ROUNDUP(MONTH(C534)/3,0))</f>
        <v/>
      </c>
    </row>
    <row r="535">
      <c r="L535" s="5">
        <f>IF(C535="","",YEAR(C535)&amp;"-Q"&amp;ROUNDUP(MONTH(C535)/3,0))</f>
        <v/>
      </c>
    </row>
    <row r="536">
      <c r="L536" s="5">
        <f>IF(C536="","",YEAR(C536)&amp;"-Q"&amp;ROUNDUP(MONTH(C536)/3,0))</f>
        <v/>
      </c>
    </row>
    <row r="537">
      <c r="L537" s="5">
        <f>IF(C537="","",YEAR(C537)&amp;"-Q"&amp;ROUNDUP(MONTH(C537)/3,0))</f>
        <v/>
      </c>
    </row>
    <row r="538">
      <c r="L538" s="5">
        <f>IF(C538="","",YEAR(C538)&amp;"-Q"&amp;ROUNDUP(MONTH(C538)/3,0))</f>
        <v/>
      </c>
    </row>
    <row r="539">
      <c r="L539" s="5">
        <f>IF(C539="","",YEAR(C539)&amp;"-Q"&amp;ROUNDUP(MONTH(C539)/3,0))</f>
        <v/>
      </c>
    </row>
    <row r="540">
      <c r="L540" s="5">
        <f>IF(C540="","",YEAR(C540)&amp;"-Q"&amp;ROUNDUP(MONTH(C540)/3,0))</f>
        <v/>
      </c>
    </row>
    <row r="541">
      <c r="L541" s="5">
        <f>IF(C541="","",YEAR(C541)&amp;"-Q"&amp;ROUNDUP(MONTH(C541)/3,0))</f>
        <v/>
      </c>
    </row>
    <row r="542">
      <c r="L542" s="5">
        <f>IF(C542="","",YEAR(C542)&amp;"-Q"&amp;ROUNDUP(MONTH(C542)/3,0))</f>
        <v/>
      </c>
    </row>
    <row r="543">
      <c r="L543" s="5">
        <f>IF(C543="","",YEAR(C543)&amp;"-Q"&amp;ROUNDUP(MONTH(C543)/3,0))</f>
        <v/>
      </c>
    </row>
    <row r="544">
      <c r="L544" s="5">
        <f>IF(C544="","",YEAR(C544)&amp;"-Q"&amp;ROUNDUP(MONTH(C544)/3,0))</f>
        <v/>
      </c>
    </row>
    <row r="545">
      <c r="L545" s="5">
        <f>IF(C545="","",YEAR(C545)&amp;"-Q"&amp;ROUNDUP(MONTH(C545)/3,0))</f>
        <v/>
      </c>
    </row>
    <row r="546">
      <c r="L546" s="5">
        <f>IF(C546="","",YEAR(C546)&amp;"-Q"&amp;ROUNDUP(MONTH(C546)/3,0))</f>
        <v/>
      </c>
    </row>
    <row r="547">
      <c r="L547" s="5">
        <f>IF(C547="","",YEAR(C547)&amp;"-Q"&amp;ROUNDUP(MONTH(C547)/3,0))</f>
        <v/>
      </c>
    </row>
    <row r="548">
      <c r="L548" s="5">
        <f>IF(C548="","",YEAR(C548)&amp;"-Q"&amp;ROUNDUP(MONTH(C548)/3,0))</f>
        <v/>
      </c>
    </row>
    <row r="549">
      <c r="L549" s="5">
        <f>IF(C549="","",YEAR(C549)&amp;"-Q"&amp;ROUNDUP(MONTH(C549)/3,0))</f>
        <v/>
      </c>
    </row>
    <row r="550">
      <c r="L550" s="5">
        <f>IF(C550="","",YEAR(C550)&amp;"-Q"&amp;ROUNDUP(MONTH(C550)/3,0))</f>
        <v/>
      </c>
    </row>
    <row r="551">
      <c r="L551" s="5">
        <f>IF(C551="","",YEAR(C551)&amp;"-Q"&amp;ROUNDUP(MONTH(C551)/3,0))</f>
        <v/>
      </c>
    </row>
    <row r="552">
      <c r="L552" s="5">
        <f>IF(C552="","",YEAR(C552)&amp;"-Q"&amp;ROUNDUP(MONTH(C552)/3,0))</f>
        <v/>
      </c>
    </row>
    <row r="553">
      <c r="L553" s="5">
        <f>IF(C553="","",YEAR(C553)&amp;"-Q"&amp;ROUNDUP(MONTH(C553)/3,0))</f>
        <v/>
      </c>
    </row>
    <row r="554">
      <c r="L554" s="5">
        <f>IF(C554="","",YEAR(C554)&amp;"-Q"&amp;ROUNDUP(MONTH(C554)/3,0))</f>
        <v/>
      </c>
    </row>
    <row r="555">
      <c r="L555" s="5">
        <f>IF(C555="","",YEAR(C555)&amp;"-Q"&amp;ROUNDUP(MONTH(C555)/3,0))</f>
        <v/>
      </c>
    </row>
    <row r="556">
      <c r="L556" s="5">
        <f>IF(C556="","",YEAR(C556)&amp;"-Q"&amp;ROUNDUP(MONTH(C556)/3,0))</f>
        <v/>
      </c>
    </row>
    <row r="557">
      <c r="L557" s="5">
        <f>IF(C557="","",YEAR(C557)&amp;"-Q"&amp;ROUNDUP(MONTH(C557)/3,0))</f>
        <v/>
      </c>
    </row>
    <row r="558">
      <c r="L558" s="5">
        <f>IF(C558="","",YEAR(C558)&amp;"-Q"&amp;ROUNDUP(MONTH(C558)/3,0))</f>
        <v/>
      </c>
    </row>
    <row r="559">
      <c r="L559" s="5">
        <f>IF(C559="","",YEAR(C559)&amp;"-Q"&amp;ROUNDUP(MONTH(C559)/3,0))</f>
        <v/>
      </c>
    </row>
    <row r="560">
      <c r="L560" s="5">
        <f>IF(C560="","",YEAR(C560)&amp;"-Q"&amp;ROUNDUP(MONTH(C560)/3,0))</f>
        <v/>
      </c>
    </row>
    <row r="561">
      <c r="L561" s="5">
        <f>IF(C561="","",YEAR(C561)&amp;"-Q"&amp;ROUNDUP(MONTH(C561)/3,0))</f>
        <v/>
      </c>
    </row>
    <row r="562">
      <c r="L562" s="5">
        <f>IF(C562="","",YEAR(C562)&amp;"-Q"&amp;ROUNDUP(MONTH(C562)/3,0))</f>
        <v/>
      </c>
    </row>
    <row r="563">
      <c r="L563" s="5">
        <f>IF(C563="","",YEAR(C563)&amp;"-Q"&amp;ROUNDUP(MONTH(C563)/3,0))</f>
        <v/>
      </c>
    </row>
    <row r="564">
      <c r="L564" s="5">
        <f>IF(C564="","",YEAR(C564)&amp;"-Q"&amp;ROUNDUP(MONTH(C564)/3,0))</f>
        <v/>
      </c>
    </row>
    <row r="565">
      <c r="L565" s="5">
        <f>IF(C565="","",YEAR(C565)&amp;"-Q"&amp;ROUNDUP(MONTH(C565)/3,0))</f>
        <v/>
      </c>
    </row>
    <row r="566">
      <c r="L566" s="5">
        <f>IF(C566="","",YEAR(C566)&amp;"-Q"&amp;ROUNDUP(MONTH(C566)/3,0))</f>
        <v/>
      </c>
    </row>
    <row r="567">
      <c r="L567" s="5">
        <f>IF(C567="","",YEAR(C567)&amp;"-Q"&amp;ROUNDUP(MONTH(C567)/3,0))</f>
        <v/>
      </c>
    </row>
    <row r="568">
      <c r="L568" s="5">
        <f>IF(C568="","",YEAR(C568)&amp;"-Q"&amp;ROUNDUP(MONTH(C568)/3,0))</f>
        <v/>
      </c>
    </row>
    <row r="569">
      <c r="L569" s="5">
        <f>IF(C569="","",YEAR(C569)&amp;"-Q"&amp;ROUNDUP(MONTH(C569)/3,0))</f>
        <v/>
      </c>
    </row>
    <row r="570">
      <c r="L570" s="5">
        <f>IF(C570="","",YEAR(C570)&amp;"-Q"&amp;ROUNDUP(MONTH(C570)/3,0))</f>
        <v/>
      </c>
    </row>
    <row r="571">
      <c r="L571" s="5">
        <f>IF(C571="","",YEAR(C571)&amp;"-Q"&amp;ROUNDUP(MONTH(C571)/3,0))</f>
        <v/>
      </c>
    </row>
    <row r="572">
      <c r="L572" s="5">
        <f>IF(C572="","",YEAR(C572)&amp;"-Q"&amp;ROUNDUP(MONTH(C572)/3,0))</f>
        <v/>
      </c>
    </row>
    <row r="573">
      <c r="L573" s="5">
        <f>IF(C573="","",YEAR(C573)&amp;"-Q"&amp;ROUNDUP(MONTH(C573)/3,0))</f>
        <v/>
      </c>
    </row>
    <row r="574">
      <c r="L574" s="5">
        <f>IF(C574="","",YEAR(C574)&amp;"-Q"&amp;ROUNDUP(MONTH(C574)/3,0))</f>
        <v/>
      </c>
    </row>
    <row r="575">
      <c r="L575" s="5">
        <f>IF(C575="","",YEAR(C575)&amp;"-Q"&amp;ROUNDUP(MONTH(C575)/3,0))</f>
        <v/>
      </c>
    </row>
    <row r="576">
      <c r="L576" s="5">
        <f>IF(C576="","",YEAR(C576)&amp;"-Q"&amp;ROUNDUP(MONTH(C576)/3,0))</f>
        <v/>
      </c>
    </row>
    <row r="577">
      <c r="L577" s="5">
        <f>IF(C577="","",YEAR(C577)&amp;"-Q"&amp;ROUNDUP(MONTH(C577)/3,0))</f>
        <v/>
      </c>
    </row>
    <row r="578">
      <c r="L578" s="5">
        <f>IF(C578="","",YEAR(C578)&amp;"-Q"&amp;ROUNDUP(MONTH(C578)/3,0))</f>
        <v/>
      </c>
    </row>
    <row r="579">
      <c r="L579" s="5">
        <f>IF(C579="","",YEAR(C579)&amp;"-Q"&amp;ROUNDUP(MONTH(C579)/3,0))</f>
        <v/>
      </c>
    </row>
    <row r="580">
      <c r="L580" s="5">
        <f>IF(C580="","",YEAR(C580)&amp;"-Q"&amp;ROUNDUP(MONTH(C580)/3,0))</f>
        <v/>
      </c>
    </row>
    <row r="581">
      <c r="L581" s="5">
        <f>IF(C581="","",YEAR(C581)&amp;"-Q"&amp;ROUNDUP(MONTH(C581)/3,0))</f>
        <v/>
      </c>
    </row>
    <row r="582">
      <c r="L582" s="5">
        <f>IF(C582="","",YEAR(C582)&amp;"-Q"&amp;ROUNDUP(MONTH(C582)/3,0))</f>
        <v/>
      </c>
    </row>
    <row r="583">
      <c r="L583" s="5">
        <f>IF(C583="","",YEAR(C583)&amp;"-Q"&amp;ROUNDUP(MONTH(C583)/3,0))</f>
        <v/>
      </c>
    </row>
    <row r="584">
      <c r="L584" s="5">
        <f>IF(C584="","",YEAR(C584)&amp;"-Q"&amp;ROUNDUP(MONTH(C584)/3,0))</f>
        <v/>
      </c>
    </row>
    <row r="585">
      <c r="L585" s="5">
        <f>IF(C585="","",YEAR(C585)&amp;"-Q"&amp;ROUNDUP(MONTH(C585)/3,0))</f>
        <v/>
      </c>
    </row>
    <row r="586">
      <c r="L586" s="5">
        <f>IF(C586="","",YEAR(C586)&amp;"-Q"&amp;ROUNDUP(MONTH(C586)/3,0))</f>
        <v/>
      </c>
    </row>
    <row r="587">
      <c r="L587" s="5">
        <f>IF(C587="","",YEAR(C587)&amp;"-Q"&amp;ROUNDUP(MONTH(C587)/3,0))</f>
        <v/>
      </c>
    </row>
    <row r="588">
      <c r="L588" s="5">
        <f>IF(C588="","",YEAR(C588)&amp;"-Q"&amp;ROUNDUP(MONTH(C588)/3,0))</f>
        <v/>
      </c>
    </row>
    <row r="589">
      <c r="L589" s="5">
        <f>IF(C589="","",YEAR(C589)&amp;"-Q"&amp;ROUNDUP(MONTH(C589)/3,0))</f>
        <v/>
      </c>
    </row>
    <row r="590">
      <c r="L590" s="5">
        <f>IF(C590="","",YEAR(C590)&amp;"-Q"&amp;ROUNDUP(MONTH(C590)/3,0))</f>
        <v/>
      </c>
    </row>
    <row r="591">
      <c r="L591" s="5">
        <f>IF(C591="","",YEAR(C591)&amp;"-Q"&amp;ROUNDUP(MONTH(C591)/3,0))</f>
        <v/>
      </c>
    </row>
    <row r="592">
      <c r="L592" s="5">
        <f>IF(C592="","",YEAR(C592)&amp;"-Q"&amp;ROUNDUP(MONTH(C592)/3,0))</f>
        <v/>
      </c>
    </row>
    <row r="593">
      <c r="L593" s="5">
        <f>IF(C593="","",YEAR(C593)&amp;"-Q"&amp;ROUNDUP(MONTH(C593)/3,0))</f>
        <v/>
      </c>
    </row>
    <row r="594">
      <c r="L594" s="5">
        <f>IF(C594="","",YEAR(C594)&amp;"-Q"&amp;ROUNDUP(MONTH(C594)/3,0))</f>
        <v/>
      </c>
    </row>
    <row r="595">
      <c r="L595" s="5">
        <f>IF(C595="","",YEAR(C595)&amp;"-Q"&amp;ROUNDUP(MONTH(C595)/3,0))</f>
        <v/>
      </c>
    </row>
    <row r="596">
      <c r="L596" s="5">
        <f>IF(C596="","",YEAR(C596)&amp;"-Q"&amp;ROUNDUP(MONTH(C596)/3,0))</f>
        <v/>
      </c>
    </row>
    <row r="597">
      <c r="L597" s="5">
        <f>IF(C597="","",YEAR(C597)&amp;"-Q"&amp;ROUNDUP(MONTH(C597)/3,0))</f>
        <v/>
      </c>
    </row>
    <row r="598">
      <c r="L598" s="5">
        <f>IF(C598="","",YEAR(C598)&amp;"-Q"&amp;ROUNDUP(MONTH(C598)/3,0))</f>
        <v/>
      </c>
    </row>
    <row r="599">
      <c r="L599" s="5">
        <f>IF(C599="","",YEAR(C599)&amp;"-Q"&amp;ROUNDUP(MONTH(C599)/3,0))</f>
        <v/>
      </c>
    </row>
    <row r="600">
      <c r="L600" s="5">
        <f>IF(C600="","",YEAR(C600)&amp;"-Q"&amp;ROUNDUP(MONTH(C600)/3,0))</f>
        <v/>
      </c>
    </row>
    <row r="601">
      <c r="L601" s="5">
        <f>IF(C601="","",YEAR(C601)&amp;"-Q"&amp;ROUNDUP(MONTH(C601)/3,0))</f>
        <v/>
      </c>
    </row>
    <row r="602">
      <c r="L602" s="5">
        <f>IF(C602="","",YEAR(C602)&amp;"-Q"&amp;ROUNDUP(MONTH(C602)/3,0))</f>
        <v/>
      </c>
    </row>
    <row r="603">
      <c r="L603" s="5">
        <f>IF(C603="","",YEAR(C603)&amp;"-Q"&amp;ROUNDUP(MONTH(C603)/3,0))</f>
        <v/>
      </c>
    </row>
    <row r="604">
      <c r="L604" s="5">
        <f>IF(C604="","",YEAR(C604)&amp;"-Q"&amp;ROUNDUP(MONTH(C604)/3,0))</f>
        <v/>
      </c>
    </row>
    <row r="605">
      <c r="L605" s="5">
        <f>IF(C605="","",YEAR(C605)&amp;"-Q"&amp;ROUNDUP(MONTH(C605)/3,0))</f>
        <v/>
      </c>
    </row>
    <row r="606">
      <c r="L606" s="5">
        <f>IF(C606="","",YEAR(C606)&amp;"-Q"&amp;ROUNDUP(MONTH(C606)/3,0))</f>
        <v/>
      </c>
    </row>
    <row r="607">
      <c r="L607" s="5">
        <f>IF(C607="","",YEAR(C607)&amp;"-Q"&amp;ROUNDUP(MONTH(C607)/3,0))</f>
        <v/>
      </c>
    </row>
    <row r="608">
      <c r="L608" s="5">
        <f>IF(C608="","",YEAR(C608)&amp;"-Q"&amp;ROUNDUP(MONTH(C608)/3,0))</f>
        <v/>
      </c>
    </row>
    <row r="609">
      <c r="L609" s="5">
        <f>IF(C609="","",YEAR(C609)&amp;"-Q"&amp;ROUNDUP(MONTH(C609)/3,0))</f>
        <v/>
      </c>
    </row>
    <row r="610">
      <c r="L610" s="5">
        <f>IF(C610="","",YEAR(C610)&amp;"-Q"&amp;ROUNDUP(MONTH(C610)/3,0))</f>
        <v/>
      </c>
    </row>
    <row r="611">
      <c r="L611" s="5">
        <f>IF(C611="","",YEAR(C611)&amp;"-Q"&amp;ROUNDUP(MONTH(C611)/3,0))</f>
        <v/>
      </c>
    </row>
    <row r="612">
      <c r="L612" s="5">
        <f>IF(C612="","",YEAR(C612)&amp;"-Q"&amp;ROUNDUP(MONTH(C612)/3,0))</f>
        <v/>
      </c>
    </row>
    <row r="613">
      <c r="L613" s="5">
        <f>IF(C613="","",YEAR(C613)&amp;"-Q"&amp;ROUNDUP(MONTH(C613)/3,0))</f>
        <v/>
      </c>
    </row>
    <row r="614">
      <c r="L614" s="5">
        <f>IF(C614="","",YEAR(C614)&amp;"-Q"&amp;ROUNDUP(MONTH(C614)/3,0))</f>
        <v/>
      </c>
    </row>
    <row r="615">
      <c r="L615" s="5">
        <f>IF(C615="","",YEAR(C615)&amp;"-Q"&amp;ROUNDUP(MONTH(C615)/3,0))</f>
        <v/>
      </c>
    </row>
    <row r="616">
      <c r="L616" s="5">
        <f>IF(C616="","",YEAR(C616)&amp;"-Q"&amp;ROUNDUP(MONTH(C616)/3,0))</f>
        <v/>
      </c>
    </row>
    <row r="617">
      <c r="L617" s="5">
        <f>IF(C617="","",YEAR(C617)&amp;"-Q"&amp;ROUNDUP(MONTH(C617)/3,0))</f>
        <v/>
      </c>
    </row>
    <row r="618">
      <c r="L618" s="5">
        <f>IF(C618="","",YEAR(C618)&amp;"-Q"&amp;ROUNDUP(MONTH(C618)/3,0))</f>
        <v/>
      </c>
    </row>
    <row r="619">
      <c r="L619" s="5">
        <f>IF(C619="","",YEAR(C619)&amp;"-Q"&amp;ROUNDUP(MONTH(C619)/3,0))</f>
        <v/>
      </c>
    </row>
    <row r="620">
      <c r="L620" s="5">
        <f>IF(C620="","",YEAR(C620)&amp;"-Q"&amp;ROUNDUP(MONTH(C620)/3,0))</f>
        <v/>
      </c>
    </row>
    <row r="621">
      <c r="L621" s="5">
        <f>IF(C621="","",YEAR(C621)&amp;"-Q"&amp;ROUNDUP(MONTH(C621)/3,0))</f>
        <v/>
      </c>
    </row>
    <row r="622">
      <c r="L622" s="5">
        <f>IF(C622="","",YEAR(C622)&amp;"-Q"&amp;ROUNDUP(MONTH(C622)/3,0))</f>
        <v/>
      </c>
    </row>
    <row r="623">
      <c r="L623" s="5">
        <f>IF(C623="","",YEAR(C623)&amp;"-Q"&amp;ROUNDUP(MONTH(C623)/3,0))</f>
        <v/>
      </c>
    </row>
    <row r="624">
      <c r="L624" s="5">
        <f>IF(C624="","",YEAR(C624)&amp;"-Q"&amp;ROUNDUP(MONTH(C624)/3,0))</f>
        <v/>
      </c>
    </row>
    <row r="625">
      <c r="L625" s="5">
        <f>IF(C625="","",YEAR(C625)&amp;"-Q"&amp;ROUNDUP(MONTH(C625)/3,0))</f>
        <v/>
      </c>
    </row>
    <row r="626">
      <c r="L626" s="5">
        <f>IF(C626="","",YEAR(C626)&amp;"-Q"&amp;ROUNDUP(MONTH(C626)/3,0))</f>
        <v/>
      </c>
    </row>
    <row r="627">
      <c r="L627" s="5">
        <f>IF(C627="","",YEAR(C627)&amp;"-Q"&amp;ROUNDUP(MONTH(C627)/3,0))</f>
        <v/>
      </c>
    </row>
    <row r="628">
      <c r="L628" s="5">
        <f>IF(C628="","",YEAR(C628)&amp;"-Q"&amp;ROUNDUP(MONTH(C628)/3,0))</f>
        <v/>
      </c>
    </row>
    <row r="629">
      <c r="L629" s="5">
        <f>IF(C629="","",YEAR(C629)&amp;"-Q"&amp;ROUNDUP(MONTH(C629)/3,0))</f>
        <v/>
      </c>
    </row>
    <row r="630">
      <c r="L630" s="5">
        <f>IF(C630="","",YEAR(C630)&amp;"-Q"&amp;ROUNDUP(MONTH(C630)/3,0))</f>
        <v/>
      </c>
    </row>
    <row r="631">
      <c r="L631" s="5">
        <f>IF(C631="","",YEAR(C631)&amp;"-Q"&amp;ROUNDUP(MONTH(C631)/3,0))</f>
        <v/>
      </c>
    </row>
    <row r="632">
      <c r="L632" s="5">
        <f>IF(C632="","",YEAR(C632)&amp;"-Q"&amp;ROUNDUP(MONTH(C632)/3,0))</f>
        <v/>
      </c>
    </row>
    <row r="633">
      <c r="L633" s="5">
        <f>IF(C633="","",YEAR(C633)&amp;"-Q"&amp;ROUNDUP(MONTH(C633)/3,0))</f>
        <v/>
      </c>
    </row>
    <row r="634">
      <c r="L634" s="5">
        <f>IF(C634="","",YEAR(C634)&amp;"-Q"&amp;ROUNDUP(MONTH(C634)/3,0))</f>
        <v/>
      </c>
    </row>
    <row r="635">
      <c r="L635" s="5">
        <f>IF(C635="","",YEAR(C635)&amp;"-Q"&amp;ROUNDUP(MONTH(C635)/3,0))</f>
        <v/>
      </c>
    </row>
    <row r="636">
      <c r="L636" s="5">
        <f>IF(C636="","",YEAR(C636)&amp;"-Q"&amp;ROUNDUP(MONTH(C636)/3,0))</f>
        <v/>
      </c>
    </row>
    <row r="637">
      <c r="L637" s="5">
        <f>IF(C637="","",YEAR(C637)&amp;"-Q"&amp;ROUNDUP(MONTH(C637)/3,0))</f>
        <v/>
      </c>
    </row>
    <row r="638">
      <c r="L638" s="5">
        <f>IF(C638="","",YEAR(C638)&amp;"-Q"&amp;ROUNDUP(MONTH(C638)/3,0))</f>
        <v/>
      </c>
    </row>
    <row r="639">
      <c r="L639" s="5">
        <f>IF(C639="","",YEAR(C639)&amp;"-Q"&amp;ROUNDUP(MONTH(C639)/3,0))</f>
        <v/>
      </c>
    </row>
    <row r="640">
      <c r="L640" s="5">
        <f>IF(C640="","",YEAR(C640)&amp;"-Q"&amp;ROUNDUP(MONTH(C640)/3,0))</f>
        <v/>
      </c>
    </row>
    <row r="641">
      <c r="L641" s="5">
        <f>IF(C641="","",YEAR(C641)&amp;"-Q"&amp;ROUNDUP(MONTH(C641)/3,0))</f>
        <v/>
      </c>
    </row>
    <row r="642">
      <c r="L642" s="5">
        <f>IF(C642="","",YEAR(C642)&amp;"-Q"&amp;ROUNDUP(MONTH(C642)/3,0))</f>
        <v/>
      </c>
    </row>
    <row r="643">
      <c r="L643" s="5">
        <f>IF(C643="","",YEAR(C643)&amp;"-Q"&amp;ROUNDUP(MONTH(C643)/3,0))</f>
        <v/>
      </c>
    </row>
    <row r="644">
      <c r="L644" s="5">
        <f>IF(C644="","",YEAR(C644)&amp;"-Q"&amp;ROUNDUP(MONTH(C644)/3,0))</f>
        <v/>
      </c>
    </row>
    <row r="645">
      <c r="L645" s="5">
        <f>IF(C645="","",YEAR(C645)&amp;"-Q"&amp;ROUNDUP(MONTH(C645)/3,0))</f>
        <v/>
      </c>
    </row>
    <row r="646">
      <c r="L646" s="5">
        <f>IF(C646="","",YEAR(C646)&amp;"-Q"&amp;ROUNDUP(MONTH(C646)/3,0))</f>
        <v/>
      </c>
    </row>
    <row r="647">
      <c r="L647" s="5">
        <f>IF(C647="","",YEAR(C647)&amp;"-Q"&amp;ROUNDUP(MONTH(C647)/3,0))</f>
        <v/>
      </c>
    </row>
    <row r="648">
      <c r="L648" s="5">
        <f>IF(C648="","",YEAR(C648)&amp;"-Q"&amp;ROUNDUP(MONTH(C648)/3,0))</f>
        <v/>
      </c>
    </row>
    <row r="649">
      <c r="L649" s="5">
        <f>IF(C649="","",YEAR(C649)&amp;"-Q"&amp;ROUNDUP(MONTH(C649)/3,0))</f>
        <v/>
      </c>
    </row>
    <row r="650">
      <c r="L650" s="5">
        <f>IF(C650="","",YEAR(C650)&amp;"-Q"&amp;ROUNDUP(MONTH(C650)/3,0))</f>
        <v/>
      </c>
    </row>
    <row r="651">
      <c r="L651" s="5">
        <f>IF(C651="","",YEAR(C651)&amp;"-Q"&amp;ROUNDUP(MONTH(C651)/3,0))</f>
        <v/>
      </c>
    </row>
    <row r="652">
      <c r="L652" s="5">
        <f>IF(C652="","",YEAR(C652)&amp;"-Q"&amp;ROUNDUP(MONTH(C652)/3,0))</f>
        <v/>
      </c>
    </row>
    <row r="653">
      <c r="L653" s="5">
        <f>IF(C653="","",YEAR(C653)&amp;"-Q"&amp;ROUNDUP(MONTH(C653)/3,0))</f>
        <v/>
      </c>
    </row>
    <row r="654">
      <c r="L654" s="5">
        <f>IF(C654="","",YEAR(C654)&amp;"-Q"&amp;ROUNDUP(MONTH(C654)/3,0))</f>
        <v/>
      </c>
    </row>
    <row r="655">
      <c r="L655" s="5">
        <f>IF(C655="","",YEAR(C655)&amp;"-Q"&amp;ROUNDUP(MONTH(C655)/3,0))</f>
        <v/>
      </c>
    </row>
    <row r="656">
      <c r="L656" s="5">
        <f>IF(C656="","",YEAR(C656)&amp;"-Q"&amp;ROUNDUP(MONTH(C656)/3,0))</f>
        <v/>
      </c>
    </row>
    <row r="657">
      <c r="L657" s="5">
        <f>IF(C657="","",YEAR(C657)&amp;"-Q"&amp;ROUNDUP(MONTH(C657)/3,0))</f>
        <v/>
      </c>
    </row>
    <row r="658">
      <c r="L658" s="5">
        <f>IF(C658="","",YEAR(C658)&amp;"-Q"&amp;ROUNDUP(MONTH(C658)/3,0))</f>
        <v/>
      </c>
    </row>
    <row r="659">
      <c r="L659" s="5">
        <f>IF(C659="","",YEAR(C659)&amp;"-Q"&amp;ROUNDUP(MONTH(C659)/3,0))</f>
        <v/>
      </c>
    </row>
    <row r="660">
      <c r="L660" s="5">
        <f>IF(C660="","",YEAR(C660)&amp;"-Q"&amp;ROUNDUP(MONTH(C660)/3,0))</f>
        <v/>
      </c>
    </row>
    <row r="661">
      <c r="L661" s="5">
        <f>IF(C661="","",YEAR(C661)&amp;"-Q"&amp;ROUNDUP(MONTH(C661)/3,0))</f>
        <v/>
      </c>
    </row>
    <row r="662">
      <c r="L662" s="5">
        <f>IF(C662="","",YEAR(C662)&amp;"-Q"&amp;ROUNDUP(MONTH(C662)/3,0))</f>
        <v/>
      </c>
    </row>
    <row r="663">
      <c r="L663" s="5">
        <f>IF(C663="","",YEAR(C663)&amp;"-Q"&amp;ROUNDUP(MONTH(C663)/3,0))</f>
        <v/>
      </c>
    </row>
    <row r="664">
      <c r="L664" s="5">
        <f>IF(C664="","",YEAR(C664)&amp;"-Q"&amp;ROUNDUP(MONTH(C664)/3,0))</f>
        <v/>
      </c>
    </row>
    <row r="665">
      <c r="L665" s="5">
        <f>IF(C665="","",YEAR(C665)&amp;"-Q"&amp;ROUNDUP(MONTH(C665)/3,0))</f>
        <v/>
      </c>
    </row>
    <row r="666">
      <c r="L666" s="5">
        <f>IF(C666="","",YEAR(C666)&amp;"-Q"&amp;ROUNDUP(MONTH(C666)/3,0))</f>
        <v/>
      </c>
    </row>
    <row r="667">
      <c r="L667" s="5">
        <f>IF(C667="","",YEAR(C667)&amp;"-Q"&amp;ROUNDUP(MONTH(C667)/3,0))</f>
        <v/>
      </c>
    </row>
    <row r="668">
      <c r="L668" s="5">
        <f>IF(C668="","",YEAR(C668)&amp;"-Q"&amp;ROUNDUP(MONTH(C668)/3,0))</f>
        <v/>
      </c>
    </row>
    <row r="669">
      <c r="L669" s="5">
        <f>IF(C669="","",YEAR(C669)&amp;"-Q"&amp;ROUNDUP(MONTH(C669)/3,0))</f>
        <v/>
      </c>
    </row>
    <row r="670">
      <c r="L670" s="5">
        <f>IF(C670="","",YEAR(C670)&amp;"-Q"&amp;ROUNDUP(MONTH(C670)/3,0))</f>
        <v/>
      </c>
    </row>
    <row r="671">
      <c r="L671" s="5">
        <f>IF(C671="","",YEAR(C671)&amp;"-Q"&amp;ROUNDUP(MONTH(C671)/3,0))</f>
        <v/>
      </c>
    </row>
    <row r="672">
      <c r="L672" s="5">
        <f>IF(C672="","",YEAR(C672)&amp;"-Q"&amp;ROUNDUP(MONTH(C672)/3,0))</f>
        <v/>
      </c>
    </row>
    <row r="673">
      <c r="L673" s="5">
        <f>IF(C673="","",YEAR(C673)&amp;"-Q"&amp;ROUNDUP(MONTH(C673)/3,0))</f>
        <v/>
      </c>
    </row>
    <row r="674">
      <c r="L674" s="5">
        <f>IF(C674="","",YEAR(C674)&amp;"-Q"&amp;ROUNDUP(MONTH(C674)/3,0))</f>
        <v/>
      </c>
    </row>
    <row r="675">
      <c r="L675" s="5">
        <f>IF(C675="","",YEAR(C675)&amp;"-Q"&amp;ROUNDUP(MONTH(C675)/3,0))</f>
        <v/>
      </c>
    </row>
    <row r="676">
      <c r="L676" s="5">
        <f>IF(C676="","",YEAR(C676)&amp;"-Q"&amp;ROUNDUP(MONTH(C676)/3,0))</f>
        <v/>
      </c>
    </row>
    <row r="677">
      <c r="L677" s="5">
        <f>IF(C677="","",YEAR(C677)&amp;"-Q"&amp;ROUNDUP(MONTH(C677)/3,0))</f>
        <v/>
      </c>
    </row>
    <row r="678">
      <c r="L678" s="5">
        <f>IF(C678="","",YEAR(C678)&amp;"-Q"&amp;ROUNDUP(MONTH(C678)/3,0))</f>
        <v/>
      </c>
    </row>
    <row r="679">
      <c r="L679" s="5">
        <f>IF(C679="","",YEAR(C679)&amp;"-Q"&amp;ROUNDUP(MONTH(C679)/3,0))</f>
        <v/>
      </c>
    </row>
    <row r="680">
      <c r="L680" s="5">
        <f>IF(C680="","",YEAR(C680)&amp;"-Q"&amp;ROUNDUP(MONTH(C680)/3,0))</f>
        <v/>
      </c>
    </row>
    <row r="681">
      <c r="L681" s="5">
        <f>IF(C681="","",YEAR(C681)&amp;"-Q"&amp;ROUNDUP(MONTH(C681)/3,0))</f>
        <v/>
      </c>
    </row>
    <row r="682">
      <c r="L682" s="5">
        <f>IF(C682="","",YEAR(C682)&amp;"-Q"&amp;ROUNDUP(MONTH(C682)/3,0))</f>
        <v/>
      </c>
    </row>
    <row r="683">
      <c r="L683" s="5">
        <f>IF(C683="","",YEAR(C683)&amp;"-Q"&amp;ROUNDUP(MONTH(C683)/3,0))</f>
        <v/>
      </c>
    </row>
    <row r="684">
      <c r="L684" s="5">
        <f>IF(C684="","",YEAR(C684)&amp;"-Q"&amp;ROUNDUP(MONTH(C684)/3,0))</f>
        <v/>
      </c>
    </row>
    <row r="685">
      <c r="L685" s="5">
        <f>IF(C685="","",YEAR(C685)&amp;"-Q"&amp;ROUNDUP(MONTH(C685)/3,0))</f>
        <v/>
      </c>
    </row>
    <row r="686">
      <c r="L686" s="5">
        <f>IF(C686="","",YEAR(C686)&amp;"-Q"&amp;ROUNDUP(MONTH(C686)/3,0))</f>
        <v/>
      </c>
    </row>
    <row r="687">
      <c r="L687" s="5">
        <f>IF(C687="","",YEAR(C687)&amp;"-Q"&amp;ROUNDUP(MONTH(C687)/3,0))</f>
        <v/>
      </c>
    </row>
    <row r="688">
      <c r="L688" s="5">
        <f>IF(C688="","",YEAR(C688)&amp;"-Q"&amp;ROUNDUP(MONTH(C688)/3,0))</f>
        <v/>
      </c>
    </row>
    <row r="689">
      <c r="L689" s="5">
        <f>IF(C689="","",YEAR(C689)&amp;"-Q"&amp;ROUNDUP(MONTH(C689)/3,0))</f>
        <v/>
      </c>
    </row>
    <row r="690">
      <c r="L690" s="5">
        <f>IF(C690="","",YEAR(C690)&amp;"-Q"&amp;ROUNDUP(MONTH(C690)/3,0))</f>
        <v/>
      </c>
    </row>
    <row r="691">
      <c r="L691" s="5">
        <f>IF(C691="","",YEAR(C691)&amp;"-Q"&amp;ROUNDUP(MONTH(C691)/3,0))</f>
        <v/>
      </c>
    </row>
    <row r="692">
      <c r="L692" s="5">
        <f>IF(C692="","",YEAR(C692)&amp;"-Q"&amp;ROUNDUP(MONTH(C692)/3,0))</f>
        <v/>
      </c>
    </row>
    <row r="693">
      <c r="L693" s="5">
        <f>IF(C693="","",YEAR(C693)&amp;"-Q"&amp;ROUNDUP(MONTH(C693)/3,0))</f>
        <v/>
      </c>
    </row>
    <row r="694">
      <c r="L694" s="5">
        <f>IF(C694="","",YEAR(C694)&amp;"-Q"&amp;ROUNDUP(MONTH(C694)/3,0))</f>
        <v/>
      </c>
    </row>
    <row r="695">
      <c r="L695" s="5">
        <f>IF(C695="","",YEAR(C695)&amp;"-Q"&amp;ROUNDUP(MONTH(C695)/3,0))</f>
        <v/>
      </c>
    </row>
    <row r="696">
      <c r="L696" s="5">
        <f>IF(C696="","",YEAR(C696)&amp;"-Q"&amp;ROUNDUP(MONTH(C696)/3,0))</f>
        <v/>
      </c>
    </row>
    <row r="697">
      <c r="L697" s="5">
        <f>IF(C697="","",YEAR(C697)&amp;"-Q"&amp;ROUNDUP(MONTH(C697)/3,0))</f>
        <v/>
      </c>
    </row>
    <row r="698">
      <c r="L698" s="5">
        <f>IF(C698="","",YEAR(C698)&amp;"-Q"&amp;ROUNDUP(MONTH(C698)/3,0))</f>
        <v/>
      </c>
    </row>
    <row r="699">
      <c r="L699" s="5">
        <f>IF(C699="","",YEAR(C699)&amp;"-Q"&amp;ROUNDUP(MONTH(C699)/3,0))</f>
        <v/>
      </c>
    </row>
    <row r="700">
      <c r="L700" s="5">
        <f>IF(C700="","",YEAR(C700)&amp;"-Q"&amp;ROUNDUP(MONTH(C700)/3,0))</f>
        <v/>
      </c>
    </row>
    <row r="701">
      <c r="L701" s="5">
        <f>IF(C701="","",YEAR(C701)&amp;"-Q"&amp;ROUNDUP(MONTH(C701)/3,0))</f>
        <v/>
      </c>
    </row>
    <row r="702">
      <c r="L702" s="5">
        <f>IF(C702="","",YEAR(C702)&amp;"-Q"&amp;ROUNDUP(MONTH(C702)/3,0))</f>
        <v/>
      </c>
    </row>
    <row r="703">
      <c r="L703" s="5">
        <f>IF(C703="","",YEAR(C703)&amp;"-Q"&amp;ROUNDUP(MONTH(C703)/3,0))</f>
        <v/>
      </c>
    </row>
    <row r="704">
      <c r="L704" s="5">
        <f>IF(C704="","",YEAR(C704)&amp;"-Q"&amp;ROUNDUP(MONTH(C704)/3,0))</f>
        <v/>
      </c>
    </row>
    <row r="705">
      <c r="L705" s="5">
        <f>IF(C705="","",YEAR(C705)&amp;"-Q"&amp;ROUNDUP(MONTH(C705)/3,0))</f>
        <v/>
      </c>
    </row>
    <row r="706">
      <c r="L706" s="5">
        <f>IF(C706="","",YEAR(C706)&amp;"-Q"&amp;ROUNDUP(MONTH(C706)/3,0))</f>
        <v/>
      </c>
    </row>
    <row r="707">
      <c r="L707" s="5">
        <f>IF(C707="","",YEAR(C707)&amp;"-Q"&amp;ROUNDUP(MONTH(C707)/3,0))</f>
        <v/>
      </c>
    </row>
    <row r="708">
      <c r="L708" s="5">
        <f>IF(C708="","",YEAR(C708)&amp;"-Q"&amp;ROUNDUP(MONTH(C708)/3,0))</f>
        <v/>
      </c>
    </row>
    <row r="709">
      <c r="L709" s="5">
        <f>IF(C709="","",YEAR(C709)&amp;"-Q"&amp;ROUNDUP(MONTH(C709)/3,0))</f>
        <v/>
      </c>
    </row>
    <row r="710">
      <c r="L710" s="5">
        <f>IF(C710="","",YEAR(C710)&amp;"-Q"&amp;ROUNDUP(MONTH(C710)/3,0))</f>
        <v/>
      </c>
    </row>
    <row r="711">
      <c r="L711" s="5">
        <f>IF(C711="","",YEAR(C711)&amp;"-Q"&amp;ROUNDUP(MONTH(C711)/3,0))</f>
        <v/>
      </c>
    </row>
    <row r="712">
      <c r="L712" s="5">
        <f>IF(C712="","",YEAR(C712)&amp;"-Q"&amp;ROUNDUP(MONTH(C712)/3,0))</f>
        <v/>
      </c>
    </row>
    <row r="713">
      <c r="L713" s="5">
        <f>IF(C713="","",YEAR(C713)&amp;"-Q"&amp;ROUNDUP(MONTH(C713)/3,0))</f>
        <v/>
      </c>
    </row>
    <row r="714">
      <c r="L714" s="5">
        <f>IF(C714="","",YEAR(C714)&amp;"-Q"&amp;ROUNDUP(MONTH(C714)/3,0))</f>
        <v/>
      </c>
    </row>
    <row r="715">
      <c r="L715" s="5">
        <f>IF(C715="","",YEAR(C715)&amp;"-Q"&amp;ROUNDUP(MONTH(C715)/3,0))</f>
        <v/>
      </c>
    </row>
    <row r="716">
      <c r="L716" s="5">
        <f>IF(C716="","",YEAR(C716)&amp;"-Q"&amp;ROUNDUP(MONTH(C716)/3,0))</f>
        <v/>
      </c>
    </row>
    <row r="717">
      <c r="L717" s="5">
        <f>IF(C717="","",YEAR(C717)&amp;"-Q"&amp;ROUNDUP(MONTH(C717)/3,0))</f>
        <v/>
      </c>
    </row>
    <row r="718">
      <c r="L718" s="5">
        <f>IF(C718="","",YEAR(C718)&amp;"-Q"&amp;ROUNDUP(MONTH(C718)/3,0))</f>
        <v/>
      </c>
    </row>
    <row r="719">
      <c r="L719" s="5">
        <f>IF(C719="","",YEAR(C719)&amp;"-Q"&amp;ROUNDUP(MONTH(C719)/3,0))</f>
        <v/>
      </c>
    </row>
    <row r="720">
      <c r="L720" s="5">
        <f>IF(C720="","",YEAR(C720)&amp;"-Q"&amp;ROUNDUP(MONTH(C720)/3,0))</f>
        <v/>
      </c>
    </row>
    <row r="721">
      <c r="L721" s="5">
        <f>IF(C721="","",YEAR(C721)&amp;"-Q"&amp;ROUNDUP(MONTH(C721)/3,0))</f>
        <v/>
      </c>
    </row>
    <row r="722">
      <c r="L722" s="5">
        <f>IF(C722="","",YEAR(C722)&amp;"-Q"&amp;ROUNDUP(MONTH(C722)/3,0))</f>
        <v/>
      </c>
    </row>
    <row r="723">
      <c r="L723" s="5">
        <f>IF(C723="","",YEAR(C723)&amp;"-Q"&amp;ROUNDUP(MONTH(C723)/3,0))</f>
        <v/>
      </c>
    </row>
    <row r="724">
      <c r="L724" s="5">
        <f>IF(C724="","",YEAR(C724)&amp;"-Q"&amp;ROUNDUP(MONTH(C724)/3,0))</f>
        <v/>
      </c>
    </row>
    <row r="725">
      <c r="L725" s="5">
        <f>IF(C725="","",YEAR(C725)&amp;"-Q"&amp;ROUNDUP(MONTH(C725)/3,0))</f>
        <v/>
      </c>
    </row>
    <row r="726">
      <c r="L726" s="5">
        <f>IF(C726="","",YEAR(C726)&amp;"-Q"&amp;ROUNDUP(MONTH(C726)/3,0))</f>
        <v/>
      </c>
    </row>
    <row r="727">
      <c r="L727" s="5">
        <f>IF(C727="","",YEAR(C727)&amp;"-Q"&amp;ROUNDUP(MONTH(C727)/3,0))</f>
        <v/>
      </c>
    </row>
    <row r="728">
      <c r="L728" s="5">
        <f>IF(C728="","",YEAR(C728)&amp;"-Q"&amp;ROUNDUP(MONTH(C728)/3,0))</f>
        <v/>
      </c>
    </row>
    <row r="729">
      <c r="L729" s="5">
        <f>IF(C729="","",YEAR(C729)&amp;"-Q"&amp;ROUNDUP(MONTH(C729)/3,0))</f>
        <v/>
      </c>
    </row>
    <row r="730">
      <c r="L730" s="5">
        <f>IF(C730="","",YEAR(C730)&amp;"-Q"&amp;ROUNDUP(MONTH(C730)/3,0))</f>
        <v/>
      </c>
    </row>
    <row r="731">
      <c r="L731" s="5">
        <f>IF(C731="","",YEAR(C731)&amp;"-Q"&amp;ROUNDUP(MONTH(C731)/3,0))</f>
        <v/>
      </c>
    </row>
    <row r="732">
      <c r="L732" s="5">
        <f>IF(C732="","",YEAR(C732)&amp;"-Q"&amp;ROUNDUP(MONTH(C732)/3,0))</f>
        <v/>
      </c>
    </row>
    <row r="733">
      <c r="L733" s="5">
        <f>IF(C733="","",YEAR(C733)&amp;"-Q"&amp;ROUNDUP(MONTH(C733)/3,0))</f>
        <v/>
      </c>
    </row>
    <row r="734">
      <c r="L734" s="5">
        <f>IF(C734="","",YEAR(C734)&amp;"-Q"&amp;ROUNDUP(MONTH(C734)/3,0))</f>
        <v/>
      </c>
    </row>
    <row r="735">
      <c r="L735" s="5">
        <f>IF(C735="","",YEAR(C735)&amp;"-Q"&amp;ROUNDUP(MONTH(C735)/3,0))</f>
        <v/>
      </c>
    </row>
    <row r="736">
      <c r="L736" s="5">
        <f>IF(C736="","",YEAR(C736)&amp;"-Q"&amp;ROUNDUP(MONTH(C736)/3,0))</f>
        <v/>
      </c>
    </row>
    <row r="737">
      <c r="L737" s="5">
        <f>IF(C737="","",YEAR(C737)&amp;"-Q"&amp;ROUNDUP(MONTH(C737)/3,0))</f>
        <v/>
      </c>
    </row>
    <row r="738">
      <c r="L738" s="5">
        <f>IF(C738="","",YEAR(C738)&amp;"-Q"&amp;ROUNDUP(MONTH(C738)/3,0))</f>
        <v/>
      </c>
    </row>
    <row r="739">
      <c r="L739" s="5">
        <f>IF(C739="","",YEAR(C739)&amp;"-Q"&amp;ROUNDUP(MONTH(C739)/3,0))</f>
        <v/>
      </c>
    </row>
    <row r="740">
      <c r="L740" s="5">
        <f>IF(C740="","",YEAR(C740)&amp;"-Q"&amp;ROUNDUP(MONTH(C740)/3,0))</f>
        <v/>
      </c>
    </row>
    <row r="741">
      <c r="L741" s="5">
        <f>IF(C741="","",YEAR(C741)&amp;"-Q"&amp;ROUNDUP(MONTH(C741)/3,0))</f>
        <v/>
      </c>
    </row>
    <row r="742">
      <c r="L742" s="5">
        <f>IF(C742="","",YEAR(C742)&amp;"-Q"&amp;ROUNDUP(MONTH(C742)/3,0))</f>
        <v/>
      </c>
    </row>
    <row r="743">
      <c r="L743" s="5">
        <f>IF(C743="","",YEAR(C743)&amp;"-Q"&amp;ROUNDUP(MONTH(C743)/3,0))</f>
        <v/>
      </c>
    </row>
    <row r="744">
      <c r="L744" s="5">
        <f>IF(C744="","",YEAR(C744)&amp;"-Q"&amp;ROUNDUP(MONTH(C744)/3,0))</f>
        <v/>
      </c>
    </row>
    <row r="745">
      <c r="L745" s="5">
        <f>IF(C745="","",YEAR(C745)&amp;"-Q"&amp;ROUNDUP(MONTH(C745)/3,0))</f>
        <v/>
      </c>
    </row>
    <row r="746">
      <c r="L746" s="5">
        <f>IF(C746="","",YEAR(C746)&amp;"-Q"&amp;ROUNDUP(MONTH(C746)/3,0))</f>
        <v/>
      </c>
    </row>
    <row r="747">
      <c r="L747" s="5">
        <f>IF(C747="","",YEAR(C747)&amp;"-Q"&amp;ROUNDUP(MONTH(C747)/3,0))</f>
        <v/>
      </c>
    </row>
    <row r="748">
      <c r="L748" s="5">
        <f>IF(C748="","",YEAR(C748)&amp;"-Q"&amp;ROUNDUP(MONTH(C748)/3,0))</f>
        <v/>
      </c>
    </row>
    <row r="749">
      <c r="L749" s="5">
        <f>IF(C749="","",YEAR(C749)&amp;"-Q"&amp;ROUNDUP(MONTH(C749)/3,0))</f>
        <v/>
      </c>
    </row>
    <row r="750">
      <c r="L750" s="5">
        <f>IF(C750="","",YEAR(C750)&amp;"-Q"&amp;ROUNDUP(MONTH(C750)/3,0))</f>
        <v/>
      </c>
    </row>
    <row r="751">
      <c r="L751" s="5">
        <f>IF(C751="","",YEAR(C751)&amp;"-Q"&amp;ROUNDUP(MONTH(C751)/3,0))</f>
        <v/>
      </c>
    </row>
    <row r="752">
      <c r="L752" s="5">
        <f>IF(C752="","",YEAR(C752)&amp;"-Q"&amp;ROUNDUP(MONTH(C752)/3,0))</f>
        <v/>
      </c>
    </row>
    <row r="753">
      <c r="L753" s="5">
        <f>IF(C753="","",YEAR(C753)&amp;"-Q"&amp;ROUNDUP(MONTH(C753)/3,0))</f>
        <v/>
      </c>
    </row>
    <row r="754">
      <c r="L754" s="5">
        <f>IF(C754="","",YEAR(C754)&amp;"-Q"&amp;ROUNDUP(MONTH(C754)/3,0))</f>
        <v/>
      </c>
    </row>
    <row r="755">
      <c r="L755" s="5">
        <f>IF(C755="","",YEAR(C755)&amp;"-Q"&amp;ROUNDUP(MONTH(C755)/3,0))</f>
        <v/>
      </c>
    </row>
    <row r="756">
      <c r="L756" s="5">
        <f>IF(C756="","",YEAR(C756)&amp;"-Q"&amp;ROUNDUP(MONTH(C756)/3,0))</f>
        <v/>
      </c>
    </row>
    <row r="757">
      <c r="L757" s="5">
        <f>IF(C757="","",YEAR(C757)&amp;"-Q"&amp;ROUNDUP(MONTH(C757)/3,0))</f>
        <v/>
      </c>
    </row>
    <row r="758">
      <c r="L758" s="5">
        <f>IF(C758="","",YEAR(C758)&amp;"-Q"&amp;ROUNDUP(MONTH(C758)/3,0))</f>
        <v/>
      </c>
    </row>
    <row r="759">
      <c r="L759" s="5">
        <f>IF(C759="","",YEAR(C759)&amp;"-Q"&amp;ROUNDUP(MONTH(C759)/3,0))</f>
        <v/>
      </c>
    </row>
    <row r="760">
      <c r="L760" s="5">
        <f>IF(C760="","",YEAR(C760)&amp;"-Q"&amp;ROUNDUP(MONTH(C760)/3,0))</f>
        <v/>
      </c>
    </row>
    <row r="761">
      <c r="L761" s="5">
        <f>IF(C761="","",YEAR(C761)&amp;"-Q"&amp;ROUNDUP(MONTH(C761)/3,0))</f>
        <v/>
      </c>
    </row>
    <row r="762">
      <c r="L762" s="5">
        <f>IF(C762="","",YEAR(C762)&amp;"-Q"&amp;ROUNDUP(MONTH(C762)/3,0))</f>
        <v/>
      </c>
    </row>
    <row r="763">
      <c r="L763" s="5">
        <f>IF(C763="","",YEAR(C763)&amp;"-Q"&amp;ROUNDUP(MONTH(C763)/3,0))</f>
        <v/>
      </c>
    </row>
    <row r="764">
      <c r="L764" s="5">
        <f>IF(C764="","",YEAR(C764)&amp;"-Q"&amp;ROUNDUP(MONTH(C764)/3,0))</f>
        <v/>
      </c>
    </row>
    <row r="765">
      <c r="L765" s="5">
        <f>IF(C765="","",YEAR(C765)&amp;"-Q"&amp;ROUNDUP(MONTH(C765)/3,0))</f>
        <v/>
      </c>
    </row>
    <row r="766">
      <c r="L766" s="5">
        <f>IF(C766="","",YEAR(C766)&amp;"-Q"&amp;ROUNDUP(MONTH(C766)/3,0))</f>
        <v/>
      </c>
    </row>
    <row r="767">
      <c r="L767" s="5">
        <f>IF(C767="","",YEAR(C767)&amp;"-Q"&amp;ROUNDUP(MONTH(C767)/3,0))</f>
        <v/>
      </c>
    </row>
    <row r="768">
      <c r="L768" s="5">
        <f>IF(C768="","",YEAR(C768)&amp;"-Q"&amp;ROUNDUP(MONTH(C768)/3,0))</f>
        <v/>
      </c>
    </row>
    <row r="769">
      <c r="L769" s="5">
        <f>IF(C769="","",YEAR(C769)&amp;"-Q"&amp;ROUNDUP(MONTH(C769)/3,0))</f>
        <v/>
      </c>
    </row>
    <row r="770">
      <c r="L770" s="5">
        <f>IF(C770="","",YEAR(C770)&amp;"-Q"&amp;ROUNDUP(MONTH(C770)/3,0))</f>
        <v/>
      </c>
    </row>
    <row r="771">
      <c r="L771" s="5">
        <f>IF(C771="","",YEAR(C771)&amp;"-Q"&amp;ROUNDUP(MONTH(C771)/3,0))</f>
        <v/>
      </c>
    </row>
    <row r="772">
      <c r="L772" s="5">
        <f>IF(C772="","",YEAR(C772)&amp;"-Q"&amp;ROUNDUP(MONTH(C772)/3,0))</f>
        <v/>
      </c>
    </row>
    <row r="773">
      <c r="L773" s="5">
        <f>IF(C773="","",YEAR(C773)&amp;"-Q"&amp;ROUNDUP(MONTH(C773)/3,0))</f>
        <v/>
      </c>
    </row>
    <row r="774">
      <c r="L774" s="5">
        <f>IF(C774="","",YEAR(C774)&amp;"-Q"&amp;ROUNDUP(MONTH(C774)/3,0))</f>
        <v/>
      </c>
    </row>
    <row r="775">
      <c r="L775" s="5">
        <f>IF(C775="","",YEAR(C775)&amp;"-Q"&amp;ROUNDUP(MONTH(C775)/3,0))</f>
        <v/>
      </c>
    </row>
    <row r="776">
      <c r="L776" s="5">
        <f>IF(C776="","",YEAR(C776)&amp;"-Q"&amp;ROUNDUP(MONTH(C776)/3,0))</f>
        <v/>
      </c>
    </row>
    <row r="777">
      <c r="L777" s="5">
        <f>IF(C777="","",YEAR(C777)&amp;"-Q"&amp;ROUNDUP(MONTH(C777)/3,0))</f>
        <v/>
      </c>
    </row>
    <row r="778">
      <c r="L778" s="5">
        <f>IF(C778="","",YEAR(C778)&amp;"-Q"&amp;ROUNDUP(MONTH(C778)/3,0))</f>
        <v/>
      </c>
    </row>
    <row r="779">
      <c r="L779" s="5">
        <f>IF(C779="","",YEAR(C779)&amp;"-Q"&amp;ROUNDUP(MONTH(C779)/3,0))</f>
        <v/>
      </c>
    </row>
    <row r="780">
      <c r="L780" s="5">
        <f>IF(C780="","",YEAR(C780)&amp;"-Q"&amp;ROUNDUP(MONTH(C780)/3,0))</f>
        <v/>
      </c>
    </row>
    <row r="781">
      <c r="L781" s="5">
        <f>IF(C781="","",YEAR(C781)&amp;"-Q"&amp;ROUNDUP(MONTH(C781)/3,0))</f>
        <v/>
      </c>
    </row>
    <row r="782">
      <c r="L782" s="5">
        <f>IF(C782="","",YEAR(C782)&amp;"-Q"&amp;ROUNDUP(MONTH(C782)/3,0))</f>
        <v/>
      </c>
    </row>
    <row r="783">
      <c r="L783" s="5">
        <f>IF(C783="","",YEAR(C783)&amp;"-Q"&amp;ROUNDUP(MONTH(C783)/3,0))</f>
        <v/>
      </c>
    </row>
    <row r="784">
      <c r="L784" s="5">
        <f>IF(C784="","",YEAR(C784)&amp;"-Q"&amp;ROUNDUP(MONTH(C784)/3,0))</f>
        <v/>
      </c>
    </row>
    <row r="785">
      <c r="L785" s="5">
        <f>IF(C785="","",YEAR(C785)&amp;"-Q"&amp;ROUNDUP(MONTH(C785)/3,0))</f>
        <v/>
      </c>
    </row>
    <row r="786">
      <c r="L786" s="5">
        <f>IF(C786="","",YEAR(C786)&amp;"-Q"&amp;ROUNDUP(MONTH(C786)/3,0))</f>
        <v/>
      </c>
    </row>
    <row r="787">
      <c r="L787" s="5">
        <f>IF(C787="","",YEAR(C787)&amp;"-Q"&amp;ROUNDUP(MONTH(C787)/3,0))</f>
        <v/>
      </c>
    </row>
    <row r="788">
      <c r="L788" s="5">
        <f>IF(C788="","",YEAR(C788)&amp;"-Q"&amp;ROUNDUP(MONTH(C788)/3,0))</f>
        <v/>
      </c>
    </row>
    <row r="789">
      <c r="L789" s="5">
        <f>IF(C789="","",YEAR(C789)&amp;"-Q"&amp;ROUNDUP(MONTH(C789)/3,0))</f>
        <v/>
      </c>
    </row>
    <row r="790">
      <c r="L790" s="5">
        <f>IF(C790="","",YEAR(C790)&amp;"-Q"&amp;ROUNDUP(MONTH(C790)/3,0))</f>
        <v/>
      </c>
    </row>
    <row r="791">
      <c r="L791" s="5">
        <f>IF(C791="","",YEAR(C791)&amp;"-Q"&amp;ROUNDUP(MONTH(C791)/3,0))</f>
        <v/>
      </c>
    </row>
    <row r="792">
      <c r="L792" s="5">
        <f>IF(C792="","",YEAR(C792)&amp;"-Q"&amp;ROUNDUP(MONTH(C792)/3,0))</f>
        <v/>
      </c>
    </row>
    <row r="793">
      <c r="L793" s="5">
        <f>IF(C793="","",YEAR(C793)&amp;"-Q"&amp;ROUNDUP(MONTH(C793)/3,0))</f>
        <v/>
      </c>
    </row>
    <row r="794">
      <c r="L794" s="5">
        <f>IF(C794="","",YEAR(C794)&amp;"-Q"&amp;ROUNDUP(MONTH(C794)/3,0))</f>
        <v/>
      </c>
    </row>
    <row r="795">
      <c r="L795" s="5">
        <f>IF(C795="","",YEAR(C795)&amp;"-Q"&amp;ROUNDUP(MONTH(C795)/3,0))</f>
        <v/>
      </c>
    </row>
    <row r="796">
      <c r="L796" s="5">
        <f>IF(C796="","",YEAR(C796)&amp;"-Q"&amp;ROUNDUP(MONTH(C796)/3,0))</f>
        <v/>
      </c>
    </row>
    <row r="797">
      <c r="L797" s="5">
        <f>IF(C797="","",YEAR(C797)&amp;"-Q"&amp;ROUNDUP(MONTH(C797)/3,0))</f>
        <v/>
      </c>
    </row>
    <row r="798">
      <c r="L798" s="5">
        <f>IF(C798="","",YEAR(C798)&amp;"-Q"&amp;ROUNDUP(MONTH(C798)/3,0))</f>
        <v/>
      </c>
    </row>
    <row r="799">
      <c r="L799" s="5">
        <f>IF(C799="","",YEAR(C799)&amp;"-Q"&amp;ROUNDUP(MONTH(C799)/3,0))</f>
        <v/>
      </c>
    </row>
    <row r="800">
      <c r="L800" s="5">
        <f>IF(C800="","",YEAR(C800)&amp;"-Q"&amp;ROUNDUP(MONTH(C800)/3,0))</f>
        <v/>
      </c>
    </row>
    <row r="801">
      <c r="L801" s="5">
        <f>IF(C801="","",YEAR(C801)&amp;"-Q"&amp;ROUNDUP(MONTH(C801)/3,0))</f>
        <v/>
      </c>
    </row>
    <row r="802">
      <c r="L802" s="5">
        <f>IF(C802="","",YEAR(C802)&amp;"-Q"&amp;ROUNDUP(MONTH(C802)/3,0))</f>
        <v/>
      </c>
    </row>
    <row r="803">
      <c r="L803" s="5">
        <f>IF(C803="","",YEAR(C803)&amp;"-Q"&amp;ROUNDUP(MONTH(C803)/3,0))</f>
        <v/>
      </c>
    </row>
    <row r="804">
      <c r="L804" s="5">
        <f>IF(C804="","",YEAR(C804)&amp;"-Q"&amp;ROUNDUP(MONTH(C804)/3,0))</f>
        <v/>
      </c>
    </row>
    <row r="805">
      <c r="L805" s="5">
        <f>IF(C805="","",YEAR(C805)&amp;"-Q"&amp;ROUNDUP(MONTH(C805)/3,0))</f>
        <v/>
      </c>
    </row>
    <row r="806">
      <c r="L806" s="5">
        <f>IF(C806="","",YEAR(C806)&amp;"-Q"&amp;ROUNDUP(MONTH(C806)/3,0))</f>
        <v/>
      </c>
    </row>
    <row r="807">
      <c r="L807" s="5">
        <f>IF(C807="","",YEAR(C807)&amp;"-Q"&amp;ROUNDUP(MONTH(C807)/3,0))</f>
        <v/>
      </c>
    </row>
    <row r="808">
      <c r="L808" s="5">
        <f>IF(C808="","",YEAR(C808)&amp;"-Q"&amp;ROUNDUP(MONTH(C808)/3,0))</f>
        <v/>
      </c>
    </row>
    <row r="809">
      <c r="L809" s="5">
        <f>IF(C809="","",YEAR(C809)&amp;"-Q"&amp;ROUNDUP(MONTH(C809)/3,0))</f>
        <v/>
      </c>
    </row>
    <row r="810">
      <c r="L810" s="5">
        <f>IF(C810="","",YEAR(C810)&amp;"-Q"&amp;ROUNDUP(MONTH(C810)/3,0))</f>
        <v/>
      </c>
    </row>
    <row r="811">
      <c r="L811" s="5">
        <f>IF(C811="","",YEAR(C811)&amp;"-Q"&amp;ROUNDUP(MONTH(C811)/3,0))</f>
        <v/>
      </c>
    </row>
    <row r="812">
      <c r="L812" s="5">
        <f>IF(C812="","",YEAR(C812)&amp;"-Q"&amp;ROUNDUP(MONTH(C812)/3,0))</f>
        <v/>
      </c>
    </row>
    <row r="813">
      <c r="L813" s="5">
        <f>IF(C813="","",YEAR(C813)&amp;"-Q"&amp;ROUNDUP(MONTH(C813)/3,0))</f>
        <v/>
      </c>
    </row>
    <row r="814">
      <c r="L814" s="5">
        <f>IF(C814="","",YEAR(C814)&amp;"-Q"&amp;ROUNDUP(MONTH(C814)/3,0))</f>
        <v/>
      </c>
    </row>
    <row r="815">
      <c r="L815" s="5">
        <f>IF(C815="","",YEAR(C815)&amp;"-Q"&amp;ROUNDUP(MONTH(C815)/3,0))</f>
        <v/>
      </c>
    </row>
    <row r="816">
      <c r="L816" s="5">
        <f>IF(C816="","",YEAR(C816)&amp;"-Q"&amp;ROUNDUP(MONTH(C816)/3,0))</f>
        <v/>
      </c>
    </row>
    <row r="817">
      <c r="L817" s="5">
        <f>IF(C817="","",YEAR(C817)&amp;"-Q"&amp;ROUNDUP(MONTH(C817)/3,0))</f>
        <v/>
      </c>
    </row>
    <row r="818">
      <c r="L818" s="5">
        <f>IF(C818="","",YEAR(C818)&amp;"-Q"&amp;ROUNDUP(MONTH(C818)/3,0))</f>
        <v/>
      </c>
    </row>
    <row r="819">
      <c r="L819" s="5">
        <f>IF(C819="","",YEAR(C819)&amp;"-Q"&amp;ROUNDUP(MONTH(C819)/3,0))</f>
        <v/>
      </c>
    </row>
    <row r="820">
      <c r="L820" s="5">
        <f>IF(C820="","",YEAR(C820)&amp;"-Q"&amp;ROUNDUP(MONTH(C820)/3,0))</f>
        <v/>
      </c>
    </row>
    <row r="821">
      <c r="L821" s="5">
        <f>IF(C821="","",YEAR(C821)&amp;"-Q"&amp;ROUNDUP(MONTH(C821)/3,0))</f>
        <v/>
      </c>
    </row>
    <row r="822">
      <c r="L822" s="5">
        <f>IF(C822="","",YEAR(C822)&amp;"-Q"&amp;ROUNDUP(MONTH(C822)/3,0))</f>
        <v/>
      </c>
    </row>
    <row r="823">
      <c r="L823" s="5">
        <f>IF(C823="","",YEAR(C823)&amp;"-Q"&amp;ROUNDUP(MONTH(C823)/3,0))</f>
        <v/>
      </c>
    </row>
    <row r="824">
      <c r="L824" s="5">
        <f>IF(C824="","",YEAR(C824)&amp;"-Q"&amp;ROUNDUP(MONTH(C824)/3,0))</f>
        <v/>
      </c>
    </row>
    <row r="825">
      <c r="L825" s="5">
        <f>IF(C825="","",YEAR(C825)&amp;"-Q"&amp;ROUNDUP(MONTH(C825)/3,0))</f>
        <v/>
      </c>
    </row>
    <row r="826">
      <c r="L826" s="5">
        <f>IF(C826="","",YEAR(C826)&amp;"-Q"&amp;ROUNDUP(MONTH(C826)/3,0))</f>
        <v/>
      </c>
    </row>
    <row r="827">
      <c r="L827" s="5">
        <f>IF(C827="","",YEAR(C827)&amp;"-Q"&amp;ROUNDUP(MONTH(C827)/3,0))</f>
        <v/>
      </c>
    </row>
    <row r="828">
      <c r="L828" s="5">
        <f>IF(C828="","",YEAR(C828)&amp;"-Q"&amp;ROUNDUP(MONTH(C828)/3,0))</f>
        <v/>
      </c>
    </row>
    <row r="829">
      <c r="L829" s="5">
        <f>IF(C829="","",YEAR(C829)&amp;"-Q"&amp;ROUNDUP(MONTH(C829)/3,0))</f>
        <v/>
      </c>
    </row>
    <row r="830">
      <c r="L830" s="5">
        <f>IF(C830="","",YEAR(C830)&amp;"-Q"&amp;ROUNDUP(MONTH(C830)/3,0))</f>
        <v/>
      </c>
    </row>
    <row r="831">
      <c r="L831" s="5">
        <f>IF(C831="","",YEAR(C831)&amp;"-Q"&amp;ROUNDUP(MONTH(C831)/3,0))</f>
        <v/>
      </c>
    </row>
    <row r="832">
      <c r="L832" s="5">
        <f>IF(C832="","",YEAR(C832)&amp;"-Q"&amp;ROUNDUP(MONTH(C832)/3,0))</f>
        <v/>
      </c>
    </row>
    <row r="833">
      <c r="L833" s="5">
        <f>IF(C833="","",YEAR(C833)&amp;"-Q"&amp;ROUNDUP(MONTH(C833)/3,0))</f>
        <v/>
      </c>
    </row>
    <row r="834">
      <c r="L834" s="5">
        <f>IF(C834="","",YEAR(C834)&amp;"-Q"&amp;ROUNDUP(MONTH(C834)/3,0))</f>
        <v/>
      </c>
    </row>
    <row r="835">
      <c r="L835" s="5">
        <f>IF(C835="","",YEAR(C835)&amp;"-Q"&amp;ROUNDUP(MONTH(C835)/3,0))</f>
        <v/>
      </c>
    </row>
    <row r="836">
      <c r="L836" s="5">
        <f>IF(C836="","",YEAR(C836)&amp;"-Q"&amp;ROUNDUP(MONTH(C836)/3,0))</f>
        <v/>
      </c>
    </row>
    <row r="837">
      <c r="L837" s="5">
        <f>IF(C837="","",YEAR(C837)&amp;"-Q"&amp;ROUNDUP(MONTH(C837)/3,0))</f>
        <v/>
      </c>
    </row>
    <row r="838">
      <c r="L838" s="5">
        <f>IF(C838="","",YEAR(C838)&amp;"-Q"&amp;ROUNDUP(MONTH(C838)/3,0))</f>
        <v/>
      </c>
    </row>
    <row r="839">
      <c r="L839" s="5">
        <f>IF(C839="","",YEAR(C839)&amp;"-Q"&amp;ROUNDUP(MONTH(C839)/3,0))</f>
        <v/>
      </c>
    </row>
    <row r="840">
      <c r="L840" s="5">
        <f>IF(C840="","",YEAR(C840)&amp;"-Q"&amp;ROUNDUP(MONTH(C840)/3,0))</f>
        <v/>
      </c>
    </row>
    <row r="841">
      <c r="L841" s="5">
        <f>IF(C841="","",YEAR(C841)&amp;"-Q"&amp;ROUNDUP(MONTH(C841)/3,0))</f>
        <v/>
      </c>
    </row>
    <row r="842">
      <c r="L842" s="5">
        <f>IF(C842="","",YEAR(C842)&amp;"-Q"&amp;ROUNDUP(MONTH(C842)/3,0))</f>
        <v/>
      </c>
    </row>
    <row r="843">
      <c r="L843" s="5">
        <f>IF(C843="","",YEAR(C843)&amp;"-Q"&amp;ROUNDUP(MONTH(C843)/3,0))</f>
        <v/>
      </c>
    </row>
    <row r="844">
      <c r="L844" s="5">
        <f>IF(C844="","",YEAR(C844)&amp;"-Q"&amp;ROUNDUP(MONTH(C844)/3,0))</f>
        <v/>
      </c>
    </row>
    <row r="845">
      <c r="L845" s="5">
        <f>IF(C845="","",YEAR(C845)&amp;"-Q"&amp;ROUNDUP(MONTH(C845)/3,0))</f>
        <v/>
      </c>
    </row>
    <row r="846">
      <c r="L846" s="5">
        <f>IF(C846="","",YEAR(C846)&amp;"-Q"&amp;ROUNDUP(MONTH(C846)/3,0))</f>
        <v/>
      </c>
    </row>
    <row r="847">
      <c r="L847" s="5">
        <f>IF(C847="","",YEAR(C847)&amp;"-Q"&amp;ROUNDUP(MONTH(C847)/3,0))</f>
        <v/>
      </c>
    </row>
    <row r="848">
      <c r="L848" s="5">
        <f>IF(C848="","",YEAR(C848)&amp;"-Q"&amp;ROUNDUP(MONTH(C848)/3,0))</f>
        <v/>
      </c>
    </row>
    <row r="849">
      <c r="L849" s="5">
        <f>IF(C849="","",YEAR(C849)&amp;"-Q"&amp;ROUNDUP(MONTH(C849)/3,0))</f>
        <v/>
      </c>
    </row>
    <row r="850">
      <c r="L850" s="5">
        <f>IF(C850="","",YEAR(C850)&amp;"-Q"&amp;ROUNDUP(MONTH(C850)/3,0))</f>
        <v/>
      </c>
    </row>
    <row r="851">
      <c r="L851" s="5">
        <f>IF(C851="","",YEAR(C851)&amp;"-Q"&amp;ROUNDUP(MONTH(C851)/3,0))</f>
        <v/>
      </c>
    </row>
    <row r="852">
      <c r="L852" s="5">
        <f>IF(C852="","",YEAR(C852)&amp;"-Q"&amp;ROUNDUP(MONTH(C852)/3,0))</f>
        <v/>
      </c>
    </row>
    <row r="853">
      <c r="L853" s="5">
        <f>IF(C853="","",YEAR(C853)&amp;"-Q"&amp;ROUNDUP(MONTH(C853)/3,0))</f>
        <v/>
      </c>
    </row>
    <row r="854">
      <c r="L854" s="5">
        <f>IF(C854="","",YEAR(C854)&amp;"-Q"&amp;ROUNDUP(MONTH(C854)/3,0))</f>
        <v/>
      </c>
    </row>
    <row r="855">
      <c r="L855" s="5">
        <f>IF(C855="","",YEAR(C855)&amp;"-Q"&amp;ROUNDUP(MONTH(C855)/3,0))</f>
        <v/>
      </c>
    </row>
    <row r="856">
      <c r="L856" s="5">
        <f>IF(C856="","",YEAR(C856)&amp;"-Q"&amp;ROUNDUP(MONTH(C856)/3,0))</f>
        <v/>
      </c>
    </row>
    <row r="857">
      <c r="L857" s="5">
        <f>IF(C857="","",YEAR(C857)&amp;"-Q"&amp;ROUNDUP(MONTH(C857)/3,0))</f>
        <v/>
      </c>
    </row>
    <row r="858">
      <c r="L858" s="5">
        <f>IF(C858="","",YEAR(C858)&amp;"-Q"&amp;ROUNDUP(MONTH(C858)/3,0))</f>
        <v/>
      </c>
    </row>
    <row r="859">
      <c r="L859" s="5">
        <f>IF(C859="","",YEAR(C859)&amp;"-Q"&amp;ROUNDUP(MONTH(C859)/3,0))</f>
        <v/>
      </c>
    </row>
    <row r="860">
      <c r="L860" s="5">
        <f>IF(C860="","",YEAR(C860)&amp;"-Q"&amp;ROUNDUP(MONTH(C860)/3,0))</f>
        <v/>
      </c>
    </row>
    <row r="861">
      <c r="L861" s="5">
        <f>IF(C861="","",YEAR(C861)&amp;"-Q"&amp;ROUNDUP(MONTH(C861)/3,0))</f>
        <v/>
      </c>
    </row>
    <row r="862">
      <c r="L862" s="5">
        <f>IF(C862="","",YEAR(C862)&amp;"-Q"&amp;ROUNDUP(MONTH(C862)/3,0))</f>
        <v/>
      </c>
    </row>
    <row r="863">
      <c r="L863" s="5">
        <f>IF(C863="","",YEAR(C863)&amp;"-Q"&amp;ROUNDUP(MONTH(C863)/3,0))</f>
        <v/>
      </c>
    </row>
    <row r="864">
      <c r="L864" s="5">
        <f>IF(C864="","",YEAR(C864)&amp;"-Q"&amp;ROUNDUP(MONTH(C864)/3,0))</f>
        <v/>
      </c>
    </row>
    <row r="865">
      <c r="L865" s="5">
        <f>IF(C865="","",YEAR(C865)&amp;"-Q"&amp;ROUNDUP(MONTH(C865)/3,0))</f>
        <v/>
      </c>
    </row>
    <row r="866">
      <c r="L866" s="5">
        <f>IF(C866="","",YEAR(C866)&amp;"-Q"&amp;ROUNDUP(MONTH(C866)/3,0))</f>
        <v/>
      </c>
    </row>
    <row r="867">
      <c r="L867" s="5">
        <f>IF(C867="","",YEAR(C867)&amp;"-Q"&amp;ROUNDUP(MONTH(C867)/3,0))</f>
        <v/>
      </c>
    </row>
    <row r="868">
      <c r="L868" s="5">
        <f>IF(C868="","",YEAR(C868)&amp;"-Q"&amp;ROUNDUP(MONTH(C868)/3,0))</f>
        <v/>
      </c>
    </row>
    <row r="869">
      <c r="L869" s="5">
        <f>IF(C869="","",YEAR(C869)&amp;"-Q"&amp;ROUNDUP(MONTH(C869)/3,0))</f>
        <v/>
      </c>
    </row>
    <row r="870">
      <c r="L870" s="5">
        <f>IF(C870="","",YEAR(C870)&amp;"-Q"&amp;ROUNDUP(MONTH(C870)/3,0))</f>
        <v/>
      </c>
    </row>
    <row r="871">
      <c r="L871" s="5">
        <f>IF(C871="","",YEAR(C871)&amp;"-Q"&amp;ROUNDUP(MONTH(C871)/3,0))</f>
        <v/>
      </c>
    </row>
    <row r="872">
      <c r="L872" s="5">
        <f>IF(C872="","",YEAR(C872)&amp;"-Q"&amp;ROUNDUP(MONTH(C872)/3,0))</f>
        <v/>
      </c>
    </row>
    <row r="873">
      <c r="L873" s="5">
        <f>IF(C873="","",YEAR(C873)&amp;"-Q"&amp;ROUNDUP(MONTH(C873)/3,0))</f>
        <v/>
      </c>
    </row>
    <row r="874">
      <c r="L874" s="5">
        <f>IF(C874="","",YEAR(C874)&amp;"-Q"&amp;ROUNDUP(MONTH(C874)/3,0))</f>
        <v/>
      </c>
    </row>
    <row r="875">
      <c r="L875" s="5">
        <f>IF(C875="","",YEAR(C875)&amp;"-Q"&amp;ROUNDUP(MONTH(C875)/3,0))</f>
        <v/>
      </c>
    </row>
    <row r="876">
      <c r="L876" s="5">
        <f>IF(C876="","",YEAR(C876)&amp;"-Q"&amp;ROUNDUP(MONTH(C876)/3,0))</f>
        <v/>
      </c>
    </row>
    <row r="877">
      <c r="L877" s="5">
        <f>IF(C877="","",YEAR(C877)&amp;"-Q"&amp;ROUNDUP(MONTH(C877)/3,0))</f>
        <v/>
      </c>
    </row>
    <row r="878">
      <c r="L878" s="5">
        <f>IF(C878="","",YEAR(C878)&amp;"-Q"&amp;ROUNDUP(MONTH(C878)/3,0))</f>
        <v/>
      </c>
    </row>
    <row r="879">
      <c r="L879" s="5">
        <f>IF(C879="","",YEAR(C879)&amp;"-Q"&amp;ROUNDUP(MONTH(C879)/3,0))</f>
        <v/>
      </c>
    </row>
    <row r="880">
      <c r="L880" s="5">
        <f>IF(C880="","",YEAR(C880)&amp;"-Q"&amp;ROUNDUP(MONTH(C880)/3,0))</f>
        <v/>
      </c>
    </row>
    <row r="881">
      <c r="L881" s="5">
        <f>IF(C881="","",YEAR(C881)&amp;"-Q"&amp;ROUNDUP(MONTH(C881)/3,0))</f>
        <v/>
      </c>
    </row>
    <row r="882">
      <c r="L882" s="5">
        <f>IF(C882="","",YEAR(C882)&amp;"-Q"&amp;ROUNDUP(MONTH(C882)/3,0))</f>
        <v/>
      </c>
    </row>
    <row r="883">
      <c r="L883" s="5">
        <f>IF(C883="","",YEAR(C883)&amp;"-Q"&amp;ROUNDUP(MONTH(C883)/3,0))</f>
        <v/>
      </c>
    </row>
    <row r="884">
      <c r="L884" s="5">
        <f>IF(C884="","",YEAR(C884)&amp;"-Q"&amp;ROUNDUP(MONTH(C884)/3,0))</f>
        <v/>
      </c>
    </row>
    <row r="885">
      <c r="L885" s="5">
        <f>IF(C885="","",YEAR(C885)&amp;"-Q"&amp;ROUNDUP(MONTH(C885)/3,0))</f>
        <v/>
      </c>
    </row>
    <row r="886">
      <c r="L886" s="5">
        <f>IF(C886="","",YEAR(C886)&amp;"-Q"&amp;ROUNDUP(MONTH(C886)/3,0))</f>
        <v/>
      </c>
    </row>
    <row r="887">
      <c r="L887" s="5">
        <f>IF(C887="","",YEAR(C887)&amp;"-Q"&amp;ROUNDUP(MONTH(C887)/3,0))</f>
        <v/>
      </c>
    </row>
    <row r="888">
      <c r="L888" s="5">
        <f>IF(C888="","",YEAR(C888)&amp;"-Q"&amp;ROUNDUP(MONTH(C888)/3,0))</f>
        <v/>
      </c>
    </row>
    <row r="889">
      <c r="L889" s="5">
        <f>IF(C889="","",YEAR(C889)&amp;"-Q"&amp;ROUNDUP(MONTH(C889)/3,0))</f>
        <v/>
      </c>
    </row>
    <row r="890">
      <c r="L890" s="5">
        <f>IF(C890="","",YEAR(C890)&amp;"-Q"&amp;ROUNDUP(MONTH(C890)/3,0))</f>
        <v/>
      </c>
    </row>
    <row r="891">
      <c r="L891" s="5">
        <f>IF(C891="","",YEAR(C891)&amp;"-Q"&amp;ROUNDUP(MONTH(C891)/3,0))</f>
        <v/>
      </c>
    </row>
    <row r="892">
      <c r="L892" s="5">
        <f>IF(C892="","",YEAR(C892)&amp;"-Q"&amp;ROUNDUP(MONTH(C892)/3,0))</f>
        <v/>
      </c>
    </row>
    <row r="893">
      <c r="L893" s="5">
        <f>IF(C893="","",YEAR(C893)&amp;"-Q"&amp;ROUNDUP(MONTH(C893)/3,0))</f>
        <v/>
      </c>
    </row>
    <row r="894">
      <c r="L894" s="5">
        <f>IF(C894="","",YEAR(C894)&amp;"-Q"&amp;ROUNDUP(MONTH(C894)/3,0))</f>
        <v/>
      </c>
    </row>
    <row r="895">
      <c r="L895" s="5">
        <f>IF(C895="","",YEAR(C895)&amp;"-Q"&amp;ROUNDUP(MONTH(C895)/3,0))</f>
        <v/>
      </c>
    </row>
    <row r="896">
      <c r="L896" s="5">
        <f>IF(C896="","",YEAR(C896)&amp;"-Q"&amp;ROUNDUP(MONTH(C896)/3,0))</f>
        <v/>
      </c>
    </row>
    <row r="897">
      <c r="L897" s="5">
        <f>IF(C897="","",YEAR(C897)&amp;"-Q"&amp;ROUNDUP(MONTH(C897)/3,0))</f>
        <v/>
      </c>
    </row>
    <row r="898">
      <c r="L898" s="5">
        <f>IF(C898="","",YEAR(C898)&amp;"-Q"&amp;ROUNDUP(MONTH(C898)/3,0))</f>
        <v/>
      </c>
    </row>
    <row r="899">
      <c r="L899" s="5">
        <f>IF(C899="","",YEAR(C899)&amp;"-Q"&amp;ROUNDUP(MONTH(C899)/3,0))</f>
        <v/>
      </c>
    </row>
    <row r="900">
      <c r="L900" s="5">
        <f>IF(C900="","",YEAR(C900)&amp;"-Q"&amp;ROUNDUP(MONTH(C900)/3,0))</f>
        <v/>
      </c>
    </row>
    <row r="901">
      <c r="L901" s="5">
        <f>IF(C901="","",YEAR(C901)&amp;"-Q"&amp;ROUNDUP(MONTH(C901)/3,0))</f>
        <v/>
      </c>
    </row>
    <row r="902">
      <c r="L902" s="5">
        <f>IF(C902="","",YEAR(C902)&amp;"-Q"&amp;ROUNDUP(MONTH(C902)/3,0))</f>
        <v/>
      </c>
    </row>
    <row r="903">
      <c r="L903" s="5">
        <f>IF(C903="","",YEAR(C903)&amp;"-Q"&amp;ROUNDUP(MONTH(C903)/3,0))</f>
        <v/>
      </c>
    </row>
    <row r="904">
      <c r="L904" s="5">
        <f>IF(C904="","",YEAR(C904)&amp;"-Q"&amp;ROUNDUP(MONTH(C904)/3,0))</f>
        <v/>
      </c>
    </row>
    <row r="905">
      <c r="L905" s="5">
        <f>IF(C905="","",YEAR(C905)&amp;"-Q"&amp;ROUNDUP(MONTH(C905)/3,0))</f>
        <v/>
      </c>
    </row>
    <row r="906">
      <c r="L906" s="5">
        <f>IF(C906="","",YEAR(C906)&amp;"-Q"&amp;ROUNDUP(MONTH(C906)/3,0))</f>
        <v/>
      </c>
    </row>
    <row r="907">
      <c r="L907" s="5">
        <f>IF(C907="","",YEAR(C907)&amp;"-Q"&amp;ROUNDUP(MONTH(C907)/3,0))</f>
        <v/>
      </c>
    </row>
    <row r="908">
      <c r="L908" s="5">
        <f>IF(C908="","",YEAR(C908)&amp;"-Q"&amp;ROUNDUP(MONTH(C908)/3,0))</f>
        <v/>
      </c>
    </row>
    <row r="909">
      <c r="L909" s="5">
        <f>IF(C909="","",YEAR(C909)&amp;"-Q"&amp;ROUNDUP(MONTH(C909)/3,0))</f>
        <v/>
      </c>
    </row>
    <row r="910">
      <c r="L910" s="5">
        <f>IF(C910="","",YEAR(C910)&amp;"-Q"&amp;ROUNDUP(MONTH(C910)/3,0))</f>
        <v/>
      </c>
    </row>
    <row r="911">
      <c r="L911" s="5">
        <f>IF(C911="","",YEAR(C911)&amp;"-Q"&amp;ROUNDUP(MONTH(C911)/3,0))</f>
        <v/>
      </c>
    </row>
    <row r="912">
      <c r="L912" s="5">
        <f>IF(C912="","",YEAR(C912)&amp;"-Q"&amp;ROUNDUP(MONTH(C912)/3,0))</f>
        <v/>
      </c>
    </row>
    <row r="913">
      <c r="L913" s="5">
        <f>IF(C913="","",YEAR(C913)&amp;"-Q"&amp;ROUNDUP(MONTH(C913)/3,0))</f>
        <v/>
      </c>
    </row>
    <row r="914">
      <c r="L914" s="5">
        <f>IF(C914="","",YEAR(C914)&amp;"-Q"&amp;ROUNDUP(MONTH(C914)/3,0))</f>
        <v/>
      </c>
    </row>
    <row r="915">
      <c r="L915" s="5">
        <f>IF(C915="","",YEAR(C915)&amp;"-Q"&amp;ROUNDUP(MONTH(C915)/3,0))</f>
        <v/>
      </c>
    </row>
    <row r="916">
      <c r="L916" s="5">
        <f>IF(C916="","",YEAR(C916)&amp;"-Q"&amp;ROUNDUP(MONTH(C916)/3,0))</f>
        <v/>
      </c>
    </row>
    <row r="917">
      <c r="L917" s="5">
        <f>IF(C917="","",YEAR(C917)&amp;"-Q"&amp;ROUNDUP(MONTH(C917)/3,0))</f>
        <v/>
      </c>
    </row>
    <row r="918">
      <c r="L918" s="5">
        <f>IF(C918="","",YEAR(C918)&amp;"-Q"&amp;ROUNDUP(MONTH(C918)/3,0))</f>
        <v/>
      </c>
    </row>
    <row r="919">
      <c r="L919" s="5">
        <f>IF(C919="","",YEAR(C919)&amp;"-Q"&amp;ROUNDUP(MONTH(C919)/3,0))</f>
        <v/>
      </c>
    </row>
    <row r="920">
      <c r="L920" s="5">
        <f>IF(C920="","",YEAR(C920)&amp;"-Q"&amp;ROUNDUP(MONTH(C920)/3,0))</f>
        <v/>
      </c>
    </row>
    <row r="921">
      <c r="L921" s="5">
        <f>IF(C921="","",YEAR(C921)&amp;"-Q"&amp;ROUNDUP(MONTH(C921)/3,0))</f>
        <v/>
      </c>
    </row>
    <row r="922">
      <c r="L922" s="5">
        <f>IF(C922="","",YEAR(C922)&amp;"-Q"&amp;ROUNDUP(MONTH(C922)/3,0))</f>
        <v/>
      </c>
    </row>
    <row r="923">
      <c r="L923" s="5">
        <f>IF(C923="","",YEAR(C923)&amp;"-Q"&amp;ROUNDUP(MONTH(C923)/3,0))</f>
        <v/>
      </c>
    </row>
    <row r="924">
      <c r="L924" s="5">
        <f>IF(C924="","",YEAR(C924)&amp;"-Q"&amp;ROUNDUP(MONTH(C924)/3,0))</f>
        <v/>
      </c>
    </row>
    <row r="925">
      <c r="L925" s="5">
        <f>IF(C925="","",YEAR(C925)&amp;"-Q"&amp;ROUNDUP(MONTH(C925)/3,0))</f>
        <v/>
      </c>
    </row>
    <row r="926">
      <c r="L926" s="5">
        <f>IF(C926="","",YEAR(C926)&amp;"-Q"&amp;ROUNDUP(MONTH(C926)/3,0))</f>
        <v/>
      </c>
    </row>
    <row r="927">
      <c r="L927" s="5">
        <f>IF(C927="","",YEAR(C927)&amp;"-Q"&amp;ROUNDUP(MONTH(C927)/3,0))</f>
        <v/>
      </c>
    </row>
    <row r="928">
      <c r="L928" s="5">
        <f>IF(C928="","",YEAR(C928)&amp;"-Q"&amp;ROUNDUP(MONTH(C928)/3,0))</f>
        <v/>
      </c>
    </row>
    <row r="929">
      <c r="L929" s="5">
        <f>IF(C929="","",YEAR(C929)&amp;"-Q"&amp;ROUNDUP(MONTH(C929)/3,0))</f>
        <v/>
      </c>
    </row>
    <row r="930">
      <c r="L930" s="5">
        <f>IF(C930="","",YEAR(C930)&amp;"-Q"&amp;ROUNDUP(MONTH(C930)/3,0))</f>
        <v/>
      </c>
    </row>
    <row r="931">
      <c r="L931" s="5">
        <f>IF(C931="","",YEAR(C931)&amp;"-Q"&amp;ROUNDUP(MONTH(C931)/3,0))</f>
        <v/>
      </c>
    </row>
    <row r="932">
      <c r="L932" s="5">
        <f>IF(C932="","",YEAR(C932)&amp;"-Q"&amp;ROUNDUP(MONTH(C932)/3,0))</f>
        <v/>
      </c>
    </row>
    <row r="933">
      <c r="L933" s="5">
        <f>IF(C933="","",YEAR(C933)&amp;"-Q"&amp;ROUNDUP(MONTH(C933)/3,0))</f>
        <v/>
      </c>
    </row>
    <row r="934">
      <c r="L934" s="5">
        <f>IF(C934="","",YEAR(C934)&amp;"-Q"&amp;ROUNDUP(MONTH(C934)/3,0))</f>
        <v/>
      </c>
    </row>
    <row r="935">
      <c r="L935" s="5">
        <f>IF(C935="","",YEAR(C935)&amp;"-Q"&amp;ROUNDUP(MONTH(C935)/3,0))</f>
        <v/>
      </c>
    </row>
    <row r="936">
      <c r="L936" s="5">
        <f>IF(C936="","",YEAR(C936)&amp;"-Q"&amp;ROUNDUP(MONTH(C936)/3,0))</f>
        <v/>
      </c>
    </row>
    <row r="937">
      <c r="L937" s="5">
        <f>IF(C937="","",YEAR(C937)&amp;"-Q"&amp;ROUNDUP(MONTH(C937)/3,0))</f>
        <v/>
      </c>
    </row>
    <row r="938">
      <c r="L938" s="5">
        <f>IF(C938="","",YEAR(C938)&amp;"-Q"&amp;ROUNDUP(MONTH(C938)/3,0))</f>
        <v/>
      </c>
    </row>
    <row r="939">
      <c r="L939" s="5">
        <f>IF(C939="","",YEAR(C939)&amp;"-Q"&amp;ROUNDUP(MONTH(C939)/3,0))</f>
        <v/>
      </c>
    </row>
    <row r="940">
      <c r="L940" s="5">
        <f>IF(C940="","",YEAR(C940)&amp;"-Q"&amp;ROUNDUP(MONTH(C940)/3,0))</f>
        <v/>
      </c>
    </row>
    <row r="941">
      <c r="L941" s="5">
        <f>IF(C941="","",YEAR(C941)&amp;"-Q"&amp;ROUNDUP(MONTH(C941)/3,0))</f>
        <v/>
      </c>
    </row>
    <row r="942">
      <c r="L942" s="5">
        <f>IF(C942="","",YEAR(C942)&amp;"-Q"&amp;ROUNDUP(MONTH(C942)/3,0))</f>
        <v/>
      </c>
    </row>
    <row r="943">
      <c r="L943" s="5">
        <f>IF(C943="","",YEAR(C943)&amp;"-Q"&amp;ROUNDUP(MONTH(C943)/3,0))</f>
        <v/>
      </c>
    </row>
    <row r="944">
      <c r="L944" s="5">
        <f>IF(C944="","",YEAR(C944)&amp;"-Q"&amp;ROUNDUP(MONTH(C944)/3,0))</f>
        <v/>
      </c>
    </row>
    <row r="945">
      <c r="L945" s="5">
        <f>IF(C945="","",YEAR(C945)&amp;"-Q"&amp;ROUNDUP(MONTH(C945)/3,0))</f>
        <v/>
      </c>
    </row>
    <row r="946">
      <c r="L946" s="5">
        <f>IF(C946="","",YEAR(C946)&amp;"-Q"&amp;ROUNDUP(MONTH(C946)/3,0))</f>
        <v/>
      </c>
    </row>
    <row r="947">
      <c r="L947" s="5">
        <f>IF(C947="","",YEAR(C947)&amp;"-Q"&amp;ROUNDUP(MONTH(C947)/3,0))</f>
        <v/>
      </c>
    </row>
    <row r="948">
      <c r="L948" s="5">
        <f>IF(C948="","",YEAR(C948)&amp;"-Q"&amp;ROUNDUP(MONTH(C948)/3,0))</f>
        <v/>
      </c>
    </row>
    <row r="949">
      <c r="L949" s="5">
        <f>IF(C949="","",YEAR(C949)&amp;"-Q"&amp;ROUNDUP(MONTH(C949)/3,0))</f>
        <v/>
      </c>
    </row>
    <row r="950">
      <c r="L950" s="5">
        <f>IF(C950="","",YEAR(C950)&amp;"-Q"&amp;ROUNDUP(MONTH(C950)/3,0))</f>
        <v/>
      </c>
    </row>
    <row r="951">
      <c r="L951" s="5">
        <f>IF(C951="","",YEAR(C951)&amp;"-Q"&amp;ROUNDUP(MONTH(C951)/3,0))</f>
        <v/>
      </c>
    </row>
    <row r="952">
      <c r="L952" s="5">
        <f>IF(C952="","",YEAR(C952)&amp;"-Q"&amp;ROUNDUP(MONTH(C952)/3,0))</f>
        <v/>
      </c>
    </row>
    <row r="953">
      <c r="L953" s="5">
        <f>IF(C953="","",YEAR(C953)&amp;"-Q"&amp;ROUNDUP(MONTH(C953)/3,0))</f>
        <v/>
      </c>
    </row>
    <row r="954">
      <c r="L954" s="5">
        <f>IF(C954="","",YEAR(C954)&amp;"-Q"&amp;ROUNDUP(MONTH(C954)/3,0))</f>
        <v/>
      </c>
    </row>
    <row r="955">
      <c r="L955" s="5">
        <f>IF(C955="","",YEAR(C955)&amp;"-Q"&amp;ROUNDUP(MONTH(C955)/3,0))</f>
        <v/>
      </c>
    </row>
    <row r="956">
      <c r="L956" s="5">
        <f>IF(C956="","",YEAR(C956)&amp;"-Q"&amp;ROUNDUP(MONTH(C956)/3,0))</f>
        <v/>
      </c>
    </row>
    <row r="957">
      <c r="L957" s="5">
        <f>IF(C957="","",YEAR(C957)&amp;"-Q"&amp;ROUNDUP(MONTH(C957)/3,0))</f>
        <v/>
      </c>
    </row>
    <row r="958">
      <c r="L958" s="5">
        <f>IF(C958="","",YEAR(C958)&amp;"-Q"&amp;ROUNDUP(MONTH(C958)/3,0))</f>
        <v/>
      </c>
    </row>
    <row r="959">
      <c r="L959" s="5">
        <f>IF(C959="","",YEAR(C959)&amp;"-Q"&amp;ROUNDUP(MONTH(C959)/3,0))</f>
        <v/>
      </c>
    </row>
    <row r="960">
      <c r="L960" s="5">
        <f>IF(C960="","",YEAR(C960)&amp;"-Q"&amp;ROUNDUP(MONTH(C960)/3,0))</f>
        <v/>
      </c>
    </row>
    <row r="961">
      <c r="L961" s="5">
        <f>IF(C961="","",YEAR(C961)&amp;"-Q"&amp;ROUNDUP(MONTH(C961)/3,0))</f>
        <v/>
      </c>
    </row>
    <row r="962">
      <c r="L962" s="5">
        <f>IF(C962="","",YEAR(C962)&amp;"-Q"&amp;ROUNDUP(MONTH(C962)/3,0))</f>
        <v/>
      </c>
    </row>
    <row r="963">
      <c r="L963" s="5">
        <f>IF(C963="","",YEAR(C963)&amp;"-Q"&amp;ROUNDUP(MONTH(C963)/3,0))</f>
        <v/>
      </c>
    </row>
    <row r="964">
      <c r="L964" s="5">
        <f>IF(C964="","",YEAR(C964)&amp;"-Q"&amp;ROUNDUP(MONTH(C964)/3,0))</f>
        <v/>
      </c>
    </row>
    <row r="965">
      <c r="L965" s="5">
        <f>IF(C965="","",YEAR(C965)&amp;"-Q"&amp;ROUNDUP(MONTH(C965)/3,0))</f>
        <v/>
      </c>
    </row>
    <row r="966">
      <c r="L966" s="5">
        <f>IF(C966="","",YEAR(C966)&amp;"-Q"&amp;ROUNDUP(MONTH(C966)/3,0))</f>
        <v/>
      </c>
    </row>
    <row r="967">
      <c r="L967" s="5">
        <f>IF(C967="","",YEAR(C967)&amp;"-Q"&amp;ROUNDUP(MONTH(C967)/3,0))</f>
        <v/>
      </c>
    </row>
    <row r="968">
      <c r="L968" s="5">
        <f>IF(C968="","",YEAR(C968)&amp;"-Q"&amp;ROUNDUP(MONTH(C968)/3,0))</f>
        <v/>
      </c>
    </row>
    <row r="969">
      <c r="L969" s="5">
        <f>IF(C969="","",YEAR(C969)&amp;"-Q"&amp;ROUNDUP(MONTH(C969)/3,0))</f>
        <v/>
      </c>
    </row>
    <row r="970">
      <c r="L970" s="5">
        <f>IF(C970="","",YEAR(C970)&amp;"-Q"&amp;ROUNDUP(MONTH(C970)/3,0))</f>
        <v/>
      </c>
    </row>
    <row r="971">
      <c r="L971" s="5">
        <f>IF(C971="","",YEAR(C971)&amp;"-Q"&amp;ROUNDUP(MONTH(C971)/3,0))</f>
        <v/>
      </c>
    </row>
    <row r="972">
      <c r="L972" s="5">
        <f>IF(C972="","",YEAR(C972)&amp;"-Q"&amp;ROUNDUP(MONTH(C972)/3,0))</f>
        <v/>
      </c>
    </row>
    <row r="973">
      <c r="L973" s="5">
        <f>IF(C973="","",YEAR(C973)&amp;"-Q"&amp;ROUNDUP(MONTH(C973)/3,0))</f>
        <v/>
      </c>
    </row>
    <row r="974">
      <c r="L974" s="5">
        <f>IF(C974="","",YEAR(C974)&amp;"-Q"&amp;ROUNDUP(MONTH(C974)/3,0))</f>
        <v/>
      </c>
    </row>
    <row r="975">
      <c r="L975" s="5">
        <f>IF(C975="","",YEAR(C975)&amp;"-Q"&amp;ROUNDUP(MONTH(C975)/3,0))</f>
        <v/>
      </c>
    </row>
    <row r="976">
      <c r="L976" s="5">
        <f>IF(C976="","",YEAR(C976)&amp;"-Q"&amp;ROUNDUP(MONTH(C976)/3,0))</f>
        <v/>
      </c>
    </row>
    <row r="977">
      <c r="L977" s="5">
        <f>IF(C977="","",YEAR(C977)&amp;"-Q"&amp;ROUNDUP(MONTH(C977)/3,0))</f>
        <v/>
      </c>
    </row>
    <row r="978">
      <c r="L978" s="5">
        <f>IF(C978="","",YEAR(C978)&amp;"-Q"&amp;ROUNDUP(MONTH(C978)/3,0))</f>
        <v/>
      </c>
    </row>
    <row r="979">
      <c r="L979" s="5">
        <f>IF(C979="","",YEAR(C979)&amp;"-Q"&amp;ROUNDUP(MONTH(C979)/3,0))</f>
        <v/>
      </c>
    </row>
    <row r="980">
      <c r="L980" s="5">
        <f>IF(C980="","",YEAR(C980)&amp;"-Q"&amp;ROUNDUP(MONTH(C980)/3,0))</f>
        <v/>
      </c>
    </row>
    <row r="981">
      <c r="L981" s="5">
        <f>IF(C981="","",YEAR(C981)&amp;"-Q"&amp;ROUNDUP(MONTH(C981)/3,0))</f>
        <v/>
      </c>
    </row>
    <row r="982">
      <c r="L982" s="5">
        <f>IF(C982="","",YEAR(C982)&amp;"-Q"&amp;ROUNDUP(MONTH(C982)/3,0))</f>
        <v/>
      </c>
    </row>
    <row r="983">
      <c r="L983" s="5">
        <f>IF(C983="","",YEAR(C983)&amp;"-Q"&amp;ROUNDUP(MONTH(C983)/3,0))</f>
        <v/>
      </c>
    </row>
    <row r="984">
      <c r="L984" s="5">
        <f>IF(C984="","",YEAR(C984)&amp;"-Q"&amp;ROUNDUP(MONTH(C984)/3,0))</f>
        <v/>
      </c>
    </row>
    <row r="985">
      <c r="L985" s="5">
        <f>IF(C985="","",YEAR(C985)&amp;"-Q"&amp;ROUNDUP(MONTH(C985)/3,0))</f>
        <v/>
      </c>
    </row>
    <row r="986">
      <c r="L986" s="5">
        <f>IF(C986="","",YEAR(C986)&amp;"-Q"&amp;ROUNDUP(MONTH(C986)/3,0))</f>
        <v/>
      </c>
    </row>
    <row r="987">
      <c r="L987" s="5">
        <f>IF(C987="","",YEAR(C987)&amp;"-Q"&amp;ROUNDUP(MONTH(C987)/3,0))</f>
        <v/>
      </c>
    </row>
    <row r="988">
      <c r="L988" s="5">
        <f>IF(C988="","",YEAR(C988)&amp;"-Q"&amp;ROUNDUP(MONTH(C988)/3,0))</f>
        <v/>
      </c>
    </row>
    <row r="989">
      <c r="L989" s="5">
        <f>IF(C989="","",YEAR(C989)&amp;"-Q"&amp;ROUNDUP(MONTH(C989)/3,0))</f>
        <v/>
      </c>
    </row>
    <row r="990">
      <c r="L990" s="5">
        <f>IF(C990="","",YEAR(C990)&amp;"-Q"&amp;ROUNDUP(MONTH(C990)/3,0))</f>
        <v/>
      </c>
    </row>
    <row r="991">
      <c r="L991" s="5">
        <f>IF(C991="","",YEAR(C991)&amp;"-Q"&amp;ROUNDUP(MONTH(C991)/3,0))</f>
        <v/>
      </c>
    </row>
    <row r="992">
      <c r="L992" s="5">
        <f>IF(C992="","",YEAR(C992)&amp;"-Q"&amp;ROUNDUP(MONTH(C992)/3,0))</f>
        <v/>
      </c>
    </row>
    <row r="993">
      <c r="L993" s="5">
        <f>IF(C993="","",YEAR(C993)&amp;"-Q"&amp;ROUNDUP(MONTH(C993)/3,0))</f>
        <v/>
      </c>
    </row>
    <row r="994">
      <c r="L994" s="5">
        <f>IF(C994="","",YEAR(C994)&amp;"-Q"&amp;ROUNDUP(MONTH(C994)/3,0))</f>
        <v/>
      </c>
    </row>
    <row r="995">
      <c r="L995" s="5">
        <f>IF(C995="","",YEAR(C995)&amp;"-Q"&amp;ROUNDUP(MONTH(C995)/3,0))</f>
        <v/>
      </c>
    </row>
    <row r="996">
      <c r="L996" s="5">
        <f>IF(C996="","",YEAR(C996)&amp;"-Q"&amp;ROUNDUP(MONTH(C996)/3,0))</f>
        <v/>
      </c>
    </row>
    <row r="997">
      <c r="L997" s="5">
        <f>IF(C997="","",YEAR(C997)&amp;"-Q"&amp;ROUNDUP(MONTH(C997)/3,0))</f>
        <v/>
      </c>
    </row>
    <row r="998">
      <c r="L998" s="5">
        <f>IF(C998="","",YEAR(C998)&amp;"-Q"&amp;ROUNDUP(MONTH(C998)/3,0))</f>
        <v/>
      </c>
    </row>
    <row r="999">
      <c r="L999" s="5">
        <f>IF(C999="","",YEAR(C999)&amp;"-Q"&amp;ROUNDUP(MONTH(C999)/3,0))</f>
        <v/>
      </c>
    </row>
    <row r="1000">
      <c r="L1000" s="5">
        <f>IF(C1000="","",YEAR(C1000)&amp;"-Q"&amp;ROUNDUP(MONTH(C1000)/3,0))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6" t="inlineStr">
        <is>
          <t>SECTOR ROTATION — capital ($M) by subsector by quarter (M&amp;A EV + Raise Amount)</t>
        </is>
      </c>
    </row>
    <row r="3">
      <c r="A3" s="2" t="inlineStr">
        <is>
          <t>Subsector ($M)</t>
        </is>
      </c>
      <c r="B3" s="2" t="inlineStr">
        <is>
          <t>2025-Q3</t>
        </is>
      </c>
      <c r="C3" s="2" t="inlineStr">
        <is>
          <t>2025-Q4</t>
        </is>
      </c>
      <c r="D3" s="2" t="inlineStr">
        <is>
          <t>2026-Q1</t>
        </is>
      </c>
      <c r="E3" s="2" t="inlineStr">
        <is>
          <t>2026-Q2</t>
        </is>
      </c>
    </row>
    <row r="4">
      <c r="A4" s="6" t="inlineStr">
        <is>
          <t>Asset &amp; Wealth Tech</t>
        </is>
      </c>
      <c r="B4">
        <f>SUMIFS('M&amp;A'!$G:$G,'M&amp;A'!$A:$A,$A4,'M&amp;A'!$L:$L,B$3)+SUMIFS(Raises!$F:$F,Raises!$A:$A,$A4,Raises!$L:$L,B$3)</f>
        <v/>
      </c>
      <c r="C4">
        <f>SUMIFS('M&amp;A'!$G:$G,'M&amp;A'!$A:$A,$A4,'M&amp;A'!$L:$L,C$3)+SUMIFS(Raises!$F:$F,Raises!$A:$A,$A4,Raises!$L:$L,C$3)</f>
        <v/>
      </c>
      <c r="D4">
        <f>SUMIFS('M&amp;A'!$G:$G,'M&amp;A'!$A:$A,$A4,'M&amp;A'!$L:$L,D$3)+SUMIFS(Raises!$F:$F,Raises!$A:$A,$A4,Raises!$L:$L,D$3)</f>
        <v/>
      </c>
      <c r="E4">
        <f>SUMIFS('M&amp;A'!$G:$G,'M&amp;A'!$A:$A,$A4,'M&amp;A'!$L:$L,E$3)+SUMIFS(Raises!$F:$F,Raises!$A:$A,$A4,Raises!$L:$L,E$3)</f>
        <v/>
      </c>
    </row>
    <row r="5">
      <c r="A5" s="6" t="inlineStr">
        <is>
          <t>Banking &amp; Lending Tech</t>
        </is>
      </c>
      <c r="B5">
        <f>SUMIFS('M&amp;A'!$G:$G,'M&amp;A'!$A:$A,$A5,'M&amp;A'!$L:$L,B$3)+SUMIFS(Raises!$F:$F,Raises!$A:$A,$A5,Raises!$L:$L,B$3)</f>
        <v/>
      </c>
      <c r="C5">
        <f>SUMIFS('M&amp;A'!$G:$G,'M&amp;A'!$A:$A,$A5,'M&amp;A'!$L:$L,C$3)+SUMIFS(Raises!$F:$F,Raises!$A:$A,$A5,Raises!$L:$L,C$3)</f>
        <v/>
      </c>
      <c r="D5">
        <f>SUMIFS('M&amp;A'!$G:$G,'M&amp;A'!$A:$A,$A5,'M&amp;A'!$L:$L,D$3)+SUMIFS(Raises!$F:$F,Raises!$A:$A,$A5,Raises!$L:$L,D$3)</f>
        <v/>
      </c>
      <c r="E5">
        <f>SUMIFS('M&amp;A'!$G:$G,'M&amp;A'!$A:$A,$A5,'M&amp;A'!$L:$L,E$3)+SUMIFS(Raises!$F:$F,Raises!$A:$A,$A5,Raises!$L:$L,E$3)</f>
        <v/>
      </c>
    </row>
    <row r="6">
      <c r="A6" s="6" t="inlineStr">
        <is>
          <t>Capital Markets Tech</t>
        </is>
      </c>
      <c r="B6">
        <f>SUMIFS('M&amp;A'!$G:$G,'M&amp;A'!$A:$A,$A6,'M&amp;A'!$L:$L,B$3)+SUMIFS(Raises!$F:$F,Raises!$A:$A,$A6,Raises!$L:$L,B$3)</f>
        <v/>
      </c>
      <c r="C6">
        <f>SUMIFS('M&amp;A'!$G:$G,'M&amp;A'!$A:$A,$A6,'M&amp;A'!$L:$L,C$3)+SUMIFS(Raises!$F:$F,Raises!$A:$A,$A6,Raises!$L:$L,C$3)</f>
        <v/>
      </c>
      <c r="D6">
        <f>SUMIFS('M&amp;A'!$G:$G,'M&amp;A'!$A:$A,$A6,'M&amp;A'!$L:$L,D$3)+SUMIFS(Raises!$F:$F,Raises!$A:$A,$A6,Raises!$L:$L,D$3)</f>
        <v/>
      </c>
      <c r="E6">
        <f>SUMIFS('M&amp;A'!$G:$G,'M&amp;A'!$A:$A,$A6,'M&amp;A'!$L:$L,E$3)+SUMIFS(Raises!$F:$F,Raises!$A:$A,$A6,Raises!$L:$L,E$3)</f>
        <v/>
      </c>
    </row>
    <row r="7">
      <c r="A7" s="6" t="inlineStr">
        <is>
          <t>Corporate Financial Function</t>
        </is>
      </c>
      <c r="B7">
        <f>SUMIFS('M&amp;A'!$G:$G,'M&amp;A'!$A:$A,$A7,'M&amp;A'!$L:$L,B$3)+SUMIFS(Raises!$F:$F,Raises!$A:$A,$A7,Raises!$L:$L,B$3)</f>
        <v/>
      </c>
      <c r="C7">
        <f>SUMIFS('M&amp;A'!$G:$G,'M&amp;A'!$A:$A,$A7,'M&amp;A'!$L:$L,C$3)+SUMIFS(Raises!$F:$F,Raises!$A:$A,$A7,Raises!$L:$L,C$3)</f>
        <v/>
      </c>
      <c r="D7">
        <f>SUMIFS('M&amp;A'!$G:$G,'M&amp;A'!$A:$A,$A7,'M&amp;A'!$L:$L,D$3)+SUMIFS(Raises!$F:$F,Raises!$A:$A,$A7,Raises!$L:$L,D$3)</f>
        <v/>
      </c>
      <c r="E7">
        <f>SUMIFS('M&amp;A'!$G:$G,'M&amp;A'!$A:$A,$A7,'M&amp;A'!$L:$L,E$3)+SUMIFS(Raises!$F:$F,Raises!$A:$A,$A7,Raises!$L:$L,E$3)</f>
        <v/>
      </c>
    </row>
    <row r="8">
      <c r="A8" s="6" t="inlineStr">
        <is>
          <t>Financial Info &amp; Analytics</t>
        </is>
      </c>
      <c r="B8">
        <f>SUMIFS('M&amp;A'!$G:$G,'M&amp;A'!$A:$A,$A8,'M&amp;A'!$L:$L,B$3)+SUMIFS(Raises!$F:$F,Raises!$A:$A,$A8,Raises!$L:$L,B$3)</f>
        <v/>
      </c>
      <c r="C8">
        <f>SUMIFS('M&amp;A'!$G:$G,'M&amp;A'!$A:$A,$A8,'M&amp;A'!$L:$L,C$3)+SUMIFS(Raises!$F:$F,Raises!$A:$A,$A8,Raises!$L:$L,C$3)</f>
        <v/>
      </c>
      <c r="D8">
        <f>SUMIFS('M&amp;A'!$G:$G,'M&amp;A'!$A:$A,$A8,'M&amp;A'!$L:$L,D$3)+SUMIFS(Raises!$F:$F,Raises!$A:$A,$A8,Raises!$L:$L,D$3)</f>
        <v/>
      </c>
      <c r="E8">
        <f>SUMIFS('M&amp;A'!$G:$G,'M&amp;A'!$A:$A,$A8,'M&amp;A'!$L:$L,E$3)+SUMIFS(Raises!$F:$F,Raises!$A:$A,$A8,Raises!$L:$L,E$3)</f>
        <v/>
      </c>
    </row>
    <row r="9">
      <c r="A9" s="6" t="inlineStr">
        <is>
          <t>InsurTech</t>
        </is>
      </c>
      <c r="B9">
        <f>SUMIFS('M&amp;A'!$G:$G,'M&amp;A'!$A:$A,$A9,'M&amp;A'!$L:$L,B$3)+SUMIFS(Raises!$F:$F,Raises!$A:$A,$A9,Raises!$L:$L,B$3)</f>
        <v/>
      </c>
      <c r="C9">
        <f>SUMIFS('M&amp;A'!$G:$G,'M&amp;A'!$A:$A,$A9,'M&amp;A'!$L:$L,C$3)+SUMIFS(Raises!$F:$F,Raises!$A:$A,$A9,Raises!$L:$L,C$3)</f>
        <v/>
      </c>
      <c r="D9">
        <f>SUMIFS('M&amp;A'!$G:$G,'M&amp;A'!$A:$A,$A9,'M&amp;A'!$L:$L,D$3)+SUMIFS(Raises!$F:$F,Raises!$A:$A,$A9,Raises!$L:$L,D$3)</f>
        <v/>
      </c>
      <c r="E9">
        <f>SUMIFS('M&amp;A'!$G:$G,'M&amp;A'!$A:$A,$A9,'M&amp;A'!$L:$L,E$3)+SUMIFS(Raises!$F:$F,Raises!$A:$A,$A9,Raises!$L:$L,E$3)</f>
        <v/>
      </c>
    </row>
    <row r="10">
      <c r="A10" s="6" t="inlineStr">
        <is>
          <t>Payments</t>
        </is>
      </c>
      <c r="B10">
        <f>SUMIFS('M&amp;A'!$G:$G,'M&amp;A'!$A:$A,$A10,'M&amp;A'!$L:$L,B$3)+SUMIFS(Raises!$F:$F,Raises!$A:$A,$A10,Raises!$L:$L,B$3)</f>
        <v/>
      </c>
      <c r="C10">
        <f>SUMIFS('M&amp;A'!$G:$G,'M&amp;A'!$A:$A,$A10,'M&amp;A'!$L:$L,C$3)+SUMIFS(Raises!$F:$F,Raises!$A:$A,$A10,Raises!$L:$L,C$3)</f>
        <v/>
      </c>
      <c r="D10">
        <f>SUMIFS('M&amp;A'!$G:$G,'M&amp;A'!$A:$A,$A10,'M&amp;A'!$L:$L,D$3)+SUMIFS(Raises!$F:$F,Raises!$A:$A,$A10,Raises!$L:$L,D$3)</f>
        <v/>
      </c>
      <c r="E10">
        <f>SUMIFS('M&amp;A'!$G:$G,'M&amp;A'!$A:$A,$A10,'M&amp;A'!$L:$L,E$3)+SUMIFS(Raises!$F:$F,Raises!$A:$A,$A10,Raises!$L:$L,E$3)</f>
        <v/>
      </c>
    </row>
    <row r="11">
      <c r="A11" s="6" t="inlineStr">
        <is>
          <t>Real Estate &amp; Mortgage Tech</t>
        </is>
      </c>
      <c r="B11">
        <f>SUMIFS('M&amp;A'!$G:$G,'M&amp;A'!$A:$A,$A11,'M&amp;A'!$L:$L,B$3)+SUMIFS(Raises!$F:$F,Raises!$A:$A,$A11,Raises!$L:$L,B$3)</f>
        <v/>
      </c>
      <c r="C11">
        <f>SUMIFS('M&amp;A'!$G:$G,'M&amp;A'!$A:$A,$A11,'M&amp;A'!$L:$L,C$3)+SUMIFS(Raises!$F:$F,Raises!$A:$A,$A11,Raises!$L:$L,C$3)</f>
        <v/>
      </c>
      <c r="D11">
        <f>SUMIFS('M&amp;A'!$G:$G,'M&amp;A'!$A:$A,$A11,'M&amp;A'!$L:$L,D$3)+SUMIFS(Raises!$F:$F,Raises!$A:$A,$A11,Raises!$L:$L,D$3)</f>
        <v/>
      </c>
      <c r="E11">
        <f>SUMIFS('M&amp;A'!$G:$G,'M&amp;A'!$A:$A,$A11,'M&amp;A'!$L:$L,E$3)+SUMIFS(Raises!$F:$F,Raises!$A:$A,$A11,Raises!$L:$L,E$3)</f>
        <v/>
      </c>
    </row>
    <row r="14">
      <c r="A14" s="6" t="inlineStr">
        <is>
          <t># OF DEALS by subsector by quarter</t>
        </is>
      </c>
    </row>
    <row r="15">
      <c r="A15" s="2" t="inlineStr">
        <is>
          <t>Subsector (#)</t>
        </is>
      </c>
      <c r="B15" s="2" t="inlineStr">
        <is>
          <t>2025-Q3</t>
        </is>
      </c>
      <c r="C15" s="2" t="inlineStr">
        <is>
          <t>2025-Q4</t>
        </is>
      </c>
      <c r="D15" s="2" t="inlineStr">
        <is>
          <t>2026-Q1</t>
        </is>
      </c>
      <c r="E15" s="2" t="inlineStr">
        <is>
          <t>2026-Q2</t>
        </is>
      </c>
    </row>
    <row r="16">
      <c r="A16" s="6" t="inlineStr">
        <is>
          <t>Asset &amp; Wealth Tech</t>
        </is>
      </c>
      <c r="B16">
        <f>COUNTIFS('M&amp;A'!$A:$A,$A16,'M&amp;A'!$L:$L,B$15)+COUNTIFS(Raises!$A:$A,$A16,Raises!$L:$L,B$15)</f>
        <v/>
      </c>
      <c r="C16">
        <f>COUNTIFS('M&amp;A'!$A:$A,$A16,'M&amp;A'!$L:$L,C$15)+COUNTIFS(Raises!$A:$A,$A16,Raises!$L:$L,C$15)</f>
        <v/>
      </c>
      <c r="D16">
        <f>COUNTIFS('M&amp;A'!$A:$A,$A16,'M&amp;A'!$L:$L,D$15)+COUNTIFS(Raises!$A:$A,$A16,Raises!$L:$L,D$15)</f>
        <v/>
      </c>
      <c r="E16">
        <f>COUNTIFS('M&amp;A'!$A:$A,$A16,'M&amp;A'!$L:$L,E$15)+COUNTIFS(Raises!$A:$A,$A16,Raises!$L:$L,E$15)</f>
        <v/>
      </c>
    </row>
    <row r="17">
      <c r="A17" s="6" t="inlineStr">
        <is>
          <t>Banking &amp; Lending Tech</t>
        </is>
      </c>
      <c r="B17">
        <f>COUNTIFS('M&amp;A'!$A:$A,$A17,'M&amp;A'!$L:$L,B$15)+COUNTIFS(Raises!$A:$A,$A17,Raises!$L:$L,B$15)</f>
        <v/>
      </c>
      <c r="C17">
        <f>COUNTIFS('M&amp;A'!$A:$A,$A17,'M&amp;A'!$L:$L,C$15)+COUNTIFS(Raises!$A:$A,$A17,Raises!$L:$L,C$15)</f>
        <v/>
      </c>
      <c r="D17">
        <f>COUNTIFS('M&amp;A'!$A:$A,$A17,'M&amp;A'!$L:$L,D$15)+COUNTIFS(Raises!$A:$A,$A17,Raises!$L:$L,D$15)</f>
        <v/>
      </c>
      <c r="E17">
        <f>COUNTIFS('M&amp;A'!$A:$A,$A17,'M&amp;A'!$L:$L,E$15)+COUNTIFS(Raises!$A:$A,$A17,Raises!$L:$L,E$15)</f>
        <v/>
      </c>
    </row>
    <row r="18">
      <c r="A18" s="6" t="inlineStr">
        <is>
          <t>Capital Markets Tech</t>
        </is>
      </c>
      <c r="B18">
        <f>COUNTIFS('M&amp;A'!$A:$A,$A18,'M&amp;A'!$L:$L,B$15)+COUNTIFS(Raises!$A:$A,$A18,Raises!$L:$L,B$15)</f>
        <v/>
      </c>
      <c r="C18">
        <f>COUNTIFS('M&amp;A'!$A:$A,$A18,'M&amp;A'!$L:$L,C$15)+COUNTIFS(Raises!$A:$A,$A18,Raises!$L:$L,C$15)</f>
        <v/>
      </c>
      <c r="D18">
        <f>COUNTIFS('M&amp;A'!$A:$A,$A18,'M&amp;A'!$L:$L,D$15)+COUNTIFS(Raises!$A:$A,$A18,Raises!$L:$L,D$15)</f>
        <v/>
      </c>
      <c r="E18">
        <f>COUNTIFS('M&amp;A'!$A:$A,$A18,'M&amp;A'!$L:$L,E$15)+COUNTIFS(Raises!$A:$A,$A18,Raises!$L:$L,E$15)</f>
        <v/>
      </c>
    </row>
    <row r="19">
      <c r="A19" s="6" t="inlineStr">
        <is>
          <t>Corporate Financial Function</t>
        </is>
      </c>
      <c r="B19">
        <f>COUNTIFS('M&amp;A'!$A:$A,$A19,'M&amp;A'!$L:$L,B$15)+COUNTIFS(Raises!$A:$A,$A19,Raises!$L:$L,B$15)</f>
        <v/>
      </c>
      <c r="C19">
        <f>COUNTIFS('M&amp;A'!$A:$A,$A19,'M&amp;A'!$L:$L,C$15)+COUNTIFS(Raises!$A:$A,$A19,Raises!$L:$L,C$15)</f>
        <v/>
      </c>
      <c r="D19">
        <f>COUNTIFS('M&amp;A'!$A:$A,$A19,'M&amp;A'!$L:$L,D$15)+COUNTIFS(Raises!$A:$A,$A19,Raises!$L:$L,D$15)</f>
        <v/>
      </c>
      <c r="E19">
        <f>COUNTIFS('M&amp;A'!$A:$A,$A19,'M&amp;A'!$L:$L,E$15)+COUNTIFS(Raises!$A:$A,$A19,Raises!$L:$L,E$15)</f>
        <v/>
      </c>
    </row>
    <row r="20">
      <c r="A20" s="6" t="inlineStr">
        <is>
          <t>Financial Info &amp; Analytics</t>
        </is>
      </c>
      <c r="B20">
        <f>COUNTIFS('M&amp;A'!$A:$A,$A20,'M&amp;A'!$L:$L,B$15)+COUNTIFS(Raises!$A:$A,$A20,Raises!$L:$L,B$15)</f>
        <v/>
      </c>
      <c r="C20">
        <f>COUNTIFS('M&amp;A'!$A:$A,$A20,'M&amp;A'!$L:$L,C$15)+COUNTIFS(Raises!$A:$A,$A20,Raises!$L:$L,C$15)</f>
        <v/>
      </c>
      <c r="D20">
        <f>COUNTIFS('M&amp;A'!$A:$A,$A20,'M&amp;A'!$L:$L,D$15)+COUNTIFS(Raises!$A:$A,$A20,Raises!$L:$L,D$15)</f>
        <v/>
      </c>
      <c r="E20">
        <f>COUNTIFS('M&amp;A'!$A:$A,$A20,'M&amp;A'!$L:$L,E$15)+COUNTIFS(Raises!$A:$A,$A20,Raises!$L:$L,E$15)</f>
        <v/>
      </c>
    </row>
    <row r="21">
      <c r="A21" s="6" t="inlineStr">
        <is>
          <t>InsurTech</t>
        </is>
      </c>
      <c r="B21">
        <f>COUNTIFS('M&amp;A'!$A:$A,$A21,'M&amp;A'!$L:$L,B$15)+COUNTIFS(Raises!$A:$A,$A21,Raises!$L:$L,B$15)</f>
        <v/>
      </c>
      <c r="C21">
        <f>COUNTIFS('M&amp;A'!$A:$A,$A21,'M&amp;A'!$L:$L,C$15)+COUNTIFS(Raises!$A:$A,$A21,Raises!$L:$L,C$15)</f>
        <v/>
      </c>
      <c r="D21">
        <f>COUNTIFS('M&amp;A'!$A:$A,$A21,'M&amp;A'!$L:$L,D$15)+COUNTIFS(Raises!$A:$A,$A21,Raises!$L:$L,D$15)</f>
        <v/>
      </c>
      <c r="E21">
        <f>COUNTIFS('M&amp;A'!$A:$A,$A21,'M&amp;A'!$L:$L,E$15)+COUNTIFS(Raises!$A:$A,$A21,Raises!$L:$L,E$15)</f>
        <v/>
      </c>
    </row>
    <row r="22">
      <c r="A22" s="6" t="inlineStr">
        <is>
          <t>Payments</t>
        </is>
      </c>
      <c r="B22">
        <f>COUNTIFS('M&amp;A'!$A:$A,$A22,'M&amp;A'!$L:$L,B$15)+COUNTIFS(Raises!$A:$A,$A22,Raises!$L:$L,B$15)</f>
        <v/>
      </c>
      <c r="C22">
        <f>COUNTIFS('M&amp;A'!$A:$A,$A22,'M&amp;A'!$L:$L,C$15)+COUNTIFS(Raises!$A:$A,$A22,Raises!$L:$L,C$15)</f>
        <v/>
      </c>
      <c r="D22">
        <f>COUNTIFS('M&amp;A'!$A:$A,$A22,'M&amp;A'!$L:$L,D$15)+COUNTIFS(Raises!$A:$A,$A22,Raises!$L:$L,D$15)</f>
        <v/>
      </c>
      <c r="E22">
        <f>COUNTIFS('M&amp;A'!$A:$A,$A22,'M&amp;A'!$L:$L,E$15)+COUNTIFS(Raises!$A:$A,$A22,Raises!$L:$L,E$15)</f>
        <v/>
      </c>
    </row>
    <row r="23">
      <c r="A23" s="6" t="inlineStr">
        <is>
          <t>Real Estate &amp; Mortgage Tech</t>
        </is>
      </c>
      <c r="B23">
        <f>COUNTIFS('M&amp;A'!$A:$A,$A23,'M&amp;A'!$L:$L,B$15)+COUNTIFS(Raises!$A:$A,$A23,Raises!$L:$L,B$15)</f>
        <v/>
      </c>
      <c r="C23">
        <f>COUNTIFS('M&amp;A'!$A:$A,$A23,'M&amp;A'!$L:$L,C$15)+COUNTIFS(Raises!$A:$A,$A23,Raises!$L:$L,C$15)</f>
        <v/>
      </c>
      <c r="D23">
        <f>COUNTIFS('M&amp;A'!$A:$A,$A23,'M&amp;A'!$L:$L,D$15)+COUNTIFS(Raises!$A:$A,$A23,Raises!$L:$L,D$15)</f>
        <v/>
      </c>
      <c r="E23">
        <f>COUNTIFS('M&amp;A'!$A:$A,$A23,'M&amp;A'!$L:$L,E$15)+COUNTIFS(Raises!$A:$A,$A23,Raises!$L:$L,E$15)</f>
        <v/>
      </c>
    </row>
    <row r="25">
      <c r="A25" s="7" t="inlineStr">
        <is>
          <t>Add a quarter: copy the last column right, change the label (e.g. 2026-Q3).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</cols>
  <sheetData>
    <row r="1">
      <c r="A1" s="2" t="inlineStr">
        <is>
          <t>Ticker</t>
        </is>
      </c>
      <c r="B1" s="2" t="inlineStr">
        <is>
          <t>Subsector</t>
        </is>
      </c>
    </row>
    <row r="2">
      <c r="A2" t="inlineStr">
        <is>
          <t>PYPL</t>
        </is>
      </c>
      <c r="B2" t="inlineStr">
        <is>
          <t>Payments</t>
        </is>
      </c>
    </row>
    <row r="3">
      <c r="A3" s="7" t="inlineStr">
        <is>
          <t>(one row per public comp ticker)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9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4" customWidth="1" min="3" max="3"/>
    <col width="15" customWidth="1" min="4" max="4"/>
    <col width="13" customWidth="1" min="11" max="11"/>
    <col width="12" customWidth="1" min="12" max="12"/>
  </cols>
  <sheetData>
    <row r="1">
      <c r="E1" t="n">
        <v>2022</v>
      </c>
      <c r="F1" t="n">
        <v>2023</v>
      </c>
      <c r="G1" t="n">
        <v>2024</v>
      </c>
      <c r="H1" t="n">
        <v>2025</v>
      </c>
      <c r="I1" t="n">
        <v>2026</v>
      </c>
      <c r="J1" t="n">
        <v>2027</v>
      </c>
      <c r="L1" s="7" t="inlineStr">
        <is>
          <t>Fwd EV/Rev = EV / next-year revenue</t>
        </is>
      </c>
    </row>
    <row r="2">
      <c r="A2" s="2" t="inlineStr">
        <is>
          <t>As-Of Date</t>
        </is>
      </c>
      <c r="B2" s="2" t="inlineStr">
        <is>
          <t>Ticker</t>
        </is>
      </c>
      <c r="C2" s="2" t="inlineStr">
        <is>
          <t>Subsector</t>
        </is>
      </c>
      <c r="D2" s="2" t="inlineStr">
        <is>
          <t>Enterprise Value</t>
        </is>
      </c>
      <c r="E2" s="2" t="inlineStr">
        <is>
          <t>Rev'22</t>
        </is>
      </c>
      <c r="F2" s="2" t="inlineStr">
        <is>
          <t>Rev'23</t>
        </is>
      </c>
      <c r="G2" s="2" t="inlineStr">
        <is>
          <t>Rev'24</t>
        </is>
      </c>
      <c r="H2" s="2" t="inlineStr">
        <is>
          <t>Rev'25</t>
        </is>
      </c>
      <c r="I2" s="2" t="inlineStr">
        <is>
          <t>Rev'26</t>
        </is>
      </c>
      <c r="J2" s="2" t="inlineStr">
        <is>
          <t>Rev'27</t>
        </is>
      </c>
      <c r="K2" s="2" t="inlineStr">
        <is>
          <t>FwdRev (CY+1)</t>
        </is>
      </c>
      <c r="L2" s="2" t="inlineStr">
        <is>
          <t>Fwd EV/Rev</t>
        </is>
      </c>
    </row>
    <row r="3">
      <c r="C3">
        <f>IFERROR(VLOOKUP(B3,'Subsector Map'!$A:$B,2,0),"")</f>
        <v/>
      </c>
      <c r="K3">
        <f>IFERROR(INDEX(E3:J3,MATCH(YEAR(A3)+1,$E$1:$J$1,0)),"")</f>
        <v/>
      </c>
      <c r="L3">
        <f>IFERROR(D3/K3,"")</f>
        <v/>
      </c>
    </row>
    <row r="4">
      <c r="C4">
        <f>IFERROR(VLOOKUP(B4,'Subsector Map'!$A:$B,2,0),"")</f>
        <v/>
      </c>
      <c r="K4">
        <f>IFERROR(INDEX(E4:J4,MATCH(YEAR(A4)+1,$E$1:$J$1,0)),"")</f>
        <v/>
      </c>
      <c r="L4">
        <f>IFERROR(D4/K4,"")</f>
        <v/>
      </c>
    </row>
    <row r="5">
      <c r="C5">
        <f>IFERROR(VLOOKUP(B5,'Subsector Map'!$A:$B,2,0),"")</f>
        <v/>
      </c>
      <c r="K5">
        <f>IFERROR(INDEX(E5:J5,MATCH(YEAR(A5)+1,$E$1:$J$1,0)),"")</f>
        <v/>
      </c>
      <c r="L5">
        <f>IFERROR(D5/K5,"")</f>
        <v/>
      </c>
    </row>
    <row r="6">
      <c r="C6">
        <f>IFERROR(VLOOKUP(B6,'Subsector Map'!$A:$B,2,0),"")</f>
        <v/>
      </c>
      <c r="K6">
        <f>IFERROR(INDEX(E6:J6,MATCH(YEAR(A6)+1,$E$1:$J$1,0)),"")</f>
        <v/>
      </c>
      <c r="L6">
        <f>IFERROR(D6/K6,"")</f>
        <v/>
      </c>
    </row>
    <row r="7">
      <c r="C7">
        <f>IFERROR(VLOOKUP(B7,'Subsector Map'!$A:$B,2,0),"")</f>
        <v/>
      </c>
      <c r="K7">
        <f>IFERROR(INDEX(E7:J7,MATCH(YEAR(A7)+1,$E$1:$J$1,0)),"")</f>
        <v/>
      </c>
      <c r="L7">
        <f>IFERROR(D7/K7,"")</f>
        <v/>
      </c>
    </row>
    <row r="8">
      <c r="C8">
        <f>IFERROR(VLOOKUP(B8,'Subsector Map'!$A:$B,2,0),"")</f>
        <v/>
      </c>
      <c r="K8">
        <f>IFERROR(INDEX(E8:J8,MATCH(YEAR(A8)+1,$E$1:$J$1,0)),"")</f>
        <v/>
      </c>
      <c r="L8">
        <f>IFERROR(D8/K8,"")</f>
        <v/>
      </c>
    </row>
    <row r="9">
      <c r="C9">
        <f>IFERROR(VLOOKUP(B9,'Subsector Map'!$A:$B,2,0),"")</f>
        <v/>
      </c>
      <c r="K9">
        <f>IFERROR(INDEX(E9:J9,MATCH(YEAR(A9)+1,$E$1:$J$1,0)),"")</f>
        <v/>
      </c>
      <c r="L9">
        <f>IFERROR(D9/K9,"")</f>
        <v/>
      </c>
    </row>
    <row r="10">
      <c r="C10">
        <f>IFERROR(VLOOKUP(B10,'Subsector Map'!$A:$B,2,0),"")</f>
        <v/>
      </c>
      <c r="K10">
        <f>IFERROR(INDEX(E10:J10,MATCH(YEAR(A10)+1,$E$1:$J$1,0)),"")</f>
        <v/>
      </c>
      <c r="L10">
        <f>IFERROR(D10/K10,"")</f>
        <v/>
      </c>
    </row>
    <row r="11">
      <c r="C11">
        <f>IFERROR(VLOOKUP(B11,'Subsector Map'!$A:$B,2,0),"")</f>
        <v/>
      </c>
      <c r="K11">
        <f>IFERROR(INDEX(E11:J11,MATCH(YEAR(A11)+1,$E$1:$J$1,0)),"")</f>
        <v/>
      </c>
      <c r="L11">
        <f>IFERROR(D11/K11,"")</f>
        <v/>
      </c>
    </row>
    <row r="12">
      <c r="C12">
        <f>IFERROR(VLOOKUP(B12,'Subsector Map'!$A:$B,2,0),"")</f>
        <v/>
      </c>
      <c r="K12">
        <f>IFERROR(INDEX(E12:J12,MATCH(YEAR(A12)+1,$E$1:$J$1,0)),"")</f>
        <v/>
      </c>
      <c r="L12">
        <f>IFERROR(D12/K12,"")</f>
        <v/>
      </c>
    </row>
    <row r="13">
      <c r="C13">
        <f>IFERROR(VLOOKUP(B13,'Subsector Map'!$A:$B,2,0),"")</f>
        <v/>
      </c>
      <c r="K13">
        <f>IFERROR(INDEX(E13:J13,MATCH(YEAR(A13)+1,$E$1:$J$1,0)),"")</f>
        <v/>
      </c>
      <c r="L13">
        <f>IFERROR(D13/K13,"")</f>
        <v/>
      </c>
    </row>
    <row r="14">
      <c r="C14">
        <f>IFERROR(VLOOKUP(B14,'Subsector Map'!$A:$B,2,0),"")</f>
        <v/>
      </c>
      <c r="K14">
        <f>IFERROR(INDEX(E14:J14,MATCH(YEAR(A14)+1,$E$1:$J$1,0)),"")</f>
        <v/>
      </c>
      <c r="L14">
        <f>IFERROR(D14/K14,"")</f>
        <v/>
      </c>
    </row>
    <row r="15">
      <c r="C15">
        <f>IFERROR(VLOOKUP(B15,'Subsector Map'!$A:$B,2,0),"")</f>
        <v/>
      </c>
      <c r="K15">
        <f>IFERROR(INDEX(E15:J15,MATCH(YEAR(A15)+1,$E$1:$J$1,0)),"")</f>
        <v/>
      </c>
      <c r="L15">
        <f>IFERROR(D15/K15,"")</f>
        <v/>
      </c>
    </row>
    <row r="16">
      <c r="C16">
        <f>IFERROR(VLOOKUP(B16,'Subsector Map'!$A:$B,2,0),"")</f>
        <v/>
      </c>
      <c r="K16">
        <f>IFERROR(INDEX(E16:J16,MATCH(YEAR(A16)+1,$E$1:$J$1,0)),"")</f>
        <v/>
      </c>
      <c r="L16">
        <f>IFERROR(D16/K16,"")</f>
        <v/>
      </c>
    </row>
    <row r="17">
      <c r="C17">
        <f>IFERROR(VLOOKUP(B17,'Subsector Map'!$A:$B,2,0),"")</f>
        <v/>
      </c>
      <c r="K17">
        <f>IFERROR(INDEX(E17:J17,MATCH(YEAR(A17)+1,$E$1:$J$1,0)),"")</f>
        <v/>
      </c>
      <c r="L17">
        <f>IFERROR(D17/K17,"")</f>
        <v/>
      </c>
    </row>
    <row r="18">
      <c r="C18">
        <f>IFERROR(VLOOKUP(B18,'Subsector Map'!$A:$B,2,0),"")</f>
        <v/>
      </c>
      <c r="K18">
        <f>IFERROR(INDEX(E18:J18,MATCH(YEAR(A18)+1,$E$1:$J$1,0)),"")</f>
        <v/>
      </c>
      <c r="L18">
        <f>IFERROR(D18/K18,"")</f>
        <v/>
      </c>
    </row>
    <row r="19">
      <c r="C19">
        <f>IFERROR(VLOOKUP(B19,'Subsector Map'!$A:$B,2,0),"")</f>
        <v/>
      </c>
      <c r="K19">
        <f>IFERROR(INDEX(E19:J19,MATCH(YEAR(A19)+1,$E$1:$J$1,0)),"")</f>
        <v/>
      </c>
      <c r="L19">
        <f>IFERROR(D19/K19,"")</f>
        <v/>
      </c>
    </row>
    <row r="20">
      <c r="C20">
        <f>IFERROR(VLOOKUP(B20,'Subsector Map'!$A:$B,2,0),"")</f>
        <v/>
      </c>
      <c r="K20">
        <f>IFERROR(INDEX(E20:J20,MATCH(YEAR(A20)+1,$E$1:$J$1,0)),"")</f>
        <v/>
      </c>
      <c r="L20">
        <f>IFERROR(D20/K20,"")</f>
        <v/>
      </c>
    </row>
    <row r="21">
      <c r="C21">
        <f>IFERROR(VLOOKUP(B21,'Subsector Map'!$A:$B,2,0),"")</f>
        <v/>
      </c>
      <c r="K21">
        <f>IFERROR(INDEX(E21:J21,MATCH(YEAR(A21)+1,$E$1:$J$1,0)),"")</f>
        <v/>
      </c>
      <c r="L21">
        <f>IFERROR(D21/K21,"")</f>
        <v/>
      </c>
    </row>
    <row r="22">
      <c r="C22">
        <f>IFERROR(VLOOKUP(B22,'Subsector Map'!$A:$B,2,0),"")</f>
        <v/>
      </c>
      <c r="K22">
        <f>IFERROR(INDEX(E22:J22,MATCH(YEAR(A22)+1,$E$1:$J$1,0)),"")</f>
        <v/>
      </c>
      <c r="L22">
        <f>IFERROR(D22/K22,"")</f>
        <v/>
      </c>
    </row>
    <row r="23">
      <c r="C23">
        <f>IFERROR(VLOOKUP(B23,'Subsector Map'!$A:$B,2,0),"")</f>
        <v/>
      </c>
      <c r="K23">
        <f>IFERROR(INDEX(E23:J23,MATCH(YEAR(A23)+1,$E$1:$J$1,0)),"")</f>
        <v/>
      </c>
      <c r="L23">
        <f>IFERROR(D23/K23,"")</f>
        <v/>
      </c>
    </row>
    <row r="24">
      <c r="C24">
        <f>IFERROR(VLOOKUP(B24,'Subsector Map'!$A:$B,2,0),"")</f>
        <v/>
      </c>
      <c r="K24">
        <f>IFERROR(INDEX(E24:J24,MATCH(YEAR(A24)+1,$E$1:$J$1,0)),"")</f>
        <v/>
      </c>
      <c r="L24">
        <f>IFERROR(D24/K24,"")</f>
        <v/>
      </c>
    </row>
    <row r="25">
      <c r="C25">
        <f>IFERROR(VLOOKUP(B25,'Subsector Map'!$A:$B,2,0),"")</f>
        <v/>
      </c>
      <c r="K25">
        <f>IFERROR(INDEX(E25:J25,MATCH(YEAR(A25)+1,$E$1:$J$1,0)),"")</f>
        <v/>
      </c>
      <c r="L25">
        <f>IFERROR(D25/K25,"")</f>
        <v/>
      </c>
    </row>
    <row r="26">
      <c r="C26">
        <f>IFERROR(VLOOKUP(B26,'Subsector Map'!$A:$B,2,0),"")</f>
        <v/>
      </c>
      <c r="K26">
        <f>IFERROR(INDEX(E26:J26,MATCH(YEAR(A26)+1,$E$1:$J$1,0)),"")</f>
        <v/>
      </c>
      <c r="L26">
        <f>IFERROR(D26/K26,"")</f>
        <v/>
      </c>
    </row>
    <row r="27">
      <c r="C27">
        <f>IFERROR(VLOOKUP(B27,'Subsector Map'!$A:$B,2,0),"")</f>
        <v/>
      </c>
      <c r="K27">
        <f>IFERROR(INDEX(E27:J27,MATCH(YEAR(A27)+1,$E$1:$J$1,0)),"")</f>
        <v/>
      </c>
      <c r="L27">
        <f>IFERROR(D27/K27,"")</f>
        <v/>
      </c>
    </row>
    <row r="28">
      <c r="C28">
        <f>IFERROR(VLOOKUP(B28,'Subsector Map'!$A:$B,2,0),"")</f>
        <v/>
      </c>
      <c r="K28">
        <f>IFERROR(INDEX(E28:J28,MATCH(YEAR(A28)+1,$E$1:$J$1,0)),"")</f>
        <v/>
      </c>
      <c r="L28">
        <f>IFERROR(D28/K28,"")</f>
        <v/>
      </c>
    </row>
    <row r="29">
      <c r="C29">
        <f>IFERROR(VLOOKUP(B29,'Subsector Map'!$A:$B,2,0),"")</f>
        <v/>
      </c>
      <c r="K29">
        <f>IFERROR(INDEX(E29:J29,MATCH(YEAR(A29)+1,$E$1:$J$1,0)),"")</f>
        <v/>
      </c>
      <c r="L29">
        <f>IFERROR(D29/K29,"")</f>
        <v/>
      </c>
    </row>
    <row r="30">
      <c r="C30">
        <f>IFERROR(VLOOKUP(B30,'Subsector Map'!$A:$B,2,0),"")</f>
        <v/>
      </c>
      <c r="K30">
        <f>IFERROR(INDEX(E30:J30,MATCH(YEAR(A30)+1,$E$1:$J$1,0)),"")</f>
        <v/>
      </c>
      <c r="L30">
        <f>IFERROR(D30/K30,"")</f>
        <v/>
      </c>
    </row>
    <row r="31">
      <c r="C31">
        <f>IFERROR(VLOOKUP(B31,'Subsector Map'!$A:$B,2,0),"")</f>
        <v/>
      </c>
      <c r="K31">
        <f>IFERROR(INDEX(E31:J31,MATCH(YEAR(A31)+1,$E$1:$J$1,0)),"")</f>
        <v/>
      </c>
      <c r="L31">
        <f>IFERROR(D31/K31,"")</f>
        <v/>
      </c>
    </row>
    <row r="32">
      <c r="C32">
        <f>IFERROR(VLOOKUP(B32,'Subsector Map'!$A:$B,2,0),"")</f>
        <v/>
      </c>
      <c r="K32">
        <f>IFERROR(INDEX(E32:J32,MATCH(YEAR(A32)+1,$E$1:$J$1,0)),"")</f>
        <v/>
      </c>
      <c r="L32">
        <f>IFERROR(D32/K32,"")</f>
        <v/>
      </c>
    </row>
    <row r="33">
      <c r="C33">
        <f>IFERROR(VLOOKUP(B33,'Subsector Map'!$A:$B,2,0),"")</f>
        <v/>
      </c>
      <c r="K33">
        <f>IFERROR(INDEX(E33:J33,MATCH(YEAR(A33)+1,$E$1:$J$1,0)),"")</f>
        <v/>
      </c>
      <c r="L33">
        <f>IFERROR(D33/K33,"")</f>
        <v/>
      </c>
    </row>
    <row r="34">
      <c r="C34">
        <f>IFERROR(VLOOKUP(B34,'Subsector Map'!$A:$B,2,0),"")</f>
        <v/>
      </c>
      <c r="K34">
        <f>IFERROR(INDEX(E34:J34,MATCH(YEAR(A34)+1,$E$1:$J$1,0)),"")</f>
        <v/>
      </c>
      <c r="L34">
        <f>IFERROR(D34/K34,"")</f>
        <v/>
      </c>
    </row>
    <row r="35">
      <c r="C35">
        <f>IFERROR(VLOOKUP(B35,'Subsector Map'!$A:$B,2,0),"")</f>
        <v/>
      </c>
      <c r="K35">
        <f>IFERROR(INDEX(E35:J35,MATCH(YEAR(A35)+1,$E$1:$J$1,0)),"")</f>
        <v/>
      </c>
      <c r="L35">
        <f>IFERROR(D35/K35,"")</f>
        <v/>
      </c>
    </row>
    <row r="36">
      <c r="C36">
        <f>IFERROR(VLOOKUP(B36,'Subsector Map'!$A:$B,2,0),"")</f>
        <v/>
      </c>
      <c r="K36">
        <f>IFERROR(INDEX(E36:J36,MATCH(YEAR(A36)+1,$E$1:$J$1,0)),"")</f>
        <v/>
      </c>
      <c r="L36">
        <f>IFERROR(D36/K36,"")</f>
        <v/>
      </c>
    </row>
    <row r="37">
      <c r="C37">
        <f>IFERROR(VLOOKUP(B37,'Subsector Map'!$A:$B,2,0),"")</f>
        <v/>
      </c>
      <c r="K37">
        <f>IFERROR(INDEX(E37:J37,MATCH(YEAR(A37)+1,$E$1:$J$1,0)),"")</f>
        <v/>
      </c>
      <c r="L37">
        <f>IFERROR(D37/K37,"")</f>
        <v/>
      </c>
    </row>
    <row r="38">
      <c r="C38">
        <f>IFERROR(VLOOKUP(B38,'Subsector Map'!$A:$B,2,0),"")</f>
        <v/>
      </c>
      <c r="K38">
        <f>IFERROR(INDEX(E38:J38,MATCH(YEAR(A38)+1,$E$1:$J$1,0)),"")</f>
        <v/>
      </c>
      <c r="L38">
        <f>IFERROR(D38/K38,"")</f>
        <v/>
      </c>
    </row>
    <row r="39">
      <c r="C39">
        <f>IFERROR(VLOOKUP(B39,'Subsector Map'!$A:$B,2,0),"")</f>
        <v/>
      </c>
      <c r="K39">
        <f>IFERROR(INDEX(E39:J39,MATCH(YEAR(A39)+1,$E$1:$J$1,0)),"")</f>
        <v/>
      </c>
      <c r="L39">
        <f>IFERROR(D39/K39,"")</f>
        <v/>
      </c>
    </row>
    <row r="40">
      <c r="C40">
        <f>IFERROR(VLOOKUP(B40,'Subsector Map'!$A:$B,2,0),"")</f>
        <v/>
      </c>
      <c r="K40">
        <f>IFERROR(INDEX(E40:J40,MATCH(YEAR(A40)+1,$E$1:$J$1,0)),"")</f>
        <v/>
      </c>
      <c r="L40">
        <f>IFERROR(D40/K40,"")</f>
        <v/>
      </c>
    </row>
    <row r="41">
      <c r="C41">
        <f>IFERROR(VLOOKUP(B41,'Subsector Map'!$A:$B,2,0),"")</f>
        <v/>
      </c>
      <c r="K41">
        <f>IFERROR(INDEX(E41:J41,MATCH(YEAR(A41)+1,$E$1:$J$1,0)),"")</f>
        <v/>
      </c>
      <c r="L41">
        <f>IFERROR(D41/K41,"")</f>
        <v/>
      </c>
    </row>
    <row r="42">
      <c r="C42">
        <f>IFERROR(VLOOKUP(B42,'Subsector Map'!$A:$B,2,0),"")</f>
        <v/>
      </c>
      <c r="K42">
        <f>IFERROR(INDEX(E42:J42,MATCH(YEAR(A42)+1,$E$1:$J$1,0)),"")</f>
        <v/>
      </c>
      <c r="L42">
        <f>IFERROR(D42/K42,"")</f>
        <v/>
      </c>
    </row>
    <row r="43">
      <c r="C43">
        <f>IFERROR(VLOOKUP(B43,'Subsector Map'!$A:$B,2,0),"")</f>
        <v/>
      </c>
      <c r="K43">
        <f>IFERROR(INDEX(E43:J43,MATCH(YEAR(A43)+1,$E$1:$J$1,0)),"")</f>
        <v/>
      </c>
      <c r="L43">
        <f>IFERROR(D43/K43,"")</f>
        <v/>
      </c>
    </row>
    <row r="44">
      <c r="C44">
        <f>IFERROR(VLOOKUP(B44,'Subsector Map'!$A:$B,2,0),"")</f>
        <v/>
      </c>
      <c r="K44">
        <f>IFERROR(INDEX(E44:J44,MATCH(YEAR(A44)+1,$E$1:$J$1,0)),"")</f>
        <v/>
      </c>
      <c r="L44">
        <f>IFERROR(D44/K44,"")</f>
        <v/>
      </c>
    </row>
    <row r="45">
      <c r="C45">
        <f>IFERROR(VLOOKUP(B45,'Subsector Map'!$A:$B,2,0),"")</f>
        <v/>
      </c>
      <c r="K45">
        <f>IFERROR(INDEX(E45:J45,MATCH(YEAR(A45)+1,$E$1:$J$1,0)),"")</f>
        <v/>
      </c>
      <c r="L45">
        <f>IFERROR(D45/K45,"")</f>
        <v/>
      </c>
    </row>
    <row r="46">
      <c r="C46">
        <f>IFERROR(VLOOKUP(B46,'Subsector Map'!$A:$B,2,0),"")</f>
        <v/>
      </c>
      <c r="K46">
        <f>IFERROR(INDEX(E46:J46,MATCH(YEAR(A46)+1,$E$1:$J$1,0)),"")</f>
        <v/>
      </c>
      <c r="L46">
        <f>IFERROR(D46/K46,"")</f>
        <v/>
      </c>
    </row>
    <row r="47">
      <c r="C47">
        <f>IFERROR(VLOOKUP(B47,'Subsector Map'!$A:$B,2,0),"")</f>
        <v/>
      </c>
      <c r="K47">
        <f>IFERROR(INDEX(E47:J47,MATCH(YEAR(A47)+1,$E$1:$J$1,0)),"")</f>
        <v/>
      </c>
      <c r="L47">
        <f>IFERROR(D47/K47,"")</f>
        <v/>
      </c>
    </row>
    <row r="48">
      <c r="C48">
        <f>IFERROR(VLOOKUP(B48,'Subsector Map'!$A:$B,2,0),"")</f>
        <v/>
      </c>
      <c r="K48">
        <f>IFERROR(INDEX(E48:J48,MATCH(YEAR(A48)+1,$E$1:$J$1,0)),"")</f>
        <v/>
      </c>
      <c r="L48">
        <f>IFERROR(D48/K48,"")</f>
        <v/>
      </c>
    </row>
    <row r="49">
      <c r="C49">
        <f>IFERROR(VLOOKUP(B49,'Subsector Map'!$A:$B,2,0),"")</f>
        <v/>
      </c>
      <c r="K49">
        <f>IFERROR(INDEX(E49:J49,MATCH(YEAR(A49)+1,$E$1:$J$1,0)),"")</f>
        <v/>
      </c>
      <c r="L49">
        <f>IFERROR(D49/K49,"")</f>
        <v/>
      </c>
    </row>
    <row r="50">
      <c r="C50">
        <f>IFERROR(VLOOKUP(B50,'Subsector Map'!$A:$B,2,0),"")</f>
        <v/>
      </c>
      <c r="K50">
        <f>IFERROR(INDEX(E50:J50,MATCH(YEAR(A50)+1,$E$1:$J$1,0)),"")</f>
        <v/>
      </c>
      <c r="L50">
        <f>IFERROR(D50/K50,"")</f>
        <v/>
      </c>
    </row>
    <row r="51">
      <c r="C51">
        <f>IFERROR(VLOOKUP(B51,'Subsector Map'!$A:$B,2,0),"")</f>
        <v/>
      </c>
      <c r="K51">
        <f>IFERROR(INDEX(E51:J51,MATCH(YEAR(A51)+1,$E$1:$J$1,0)),"")</f>
        <v/>
      </c>
      <c r="L51">
        <f>IFERROR(D51/K51,"")</f>
        <v/>
      </c>
    </row>
    <row r="52">
      <c r="C52">
        <f>IFERROR(VLOOKUP(B52,'Subsector Map'!$A:$B,2,0),"")</f>
        <v/>
      </c>
      <c r="K52">
        <f>IFERROR(INDEX(E52:J52,MATCH(YEAR(A52)+1,$E$1:$J$1,0)),"")</f>
        <v/>
      </c>
      <c r="L52">
        <f>IFERROR(D52/K52,"")</f>
        <v/>
      </c>
    </row>
    <row r="53">
      <c r="C53">
        <f>IFERROR(VLOOKUP(B53,'Subsector Map'!$A:$B,2,0),"")</f>
        <v/>
      </c>
      <c r="K53">
        <f>IFERROR(INDEX(E53:J53,MATCH(YEAR(A53)+1,$E$1:$J$1,0)),"")</f>
        <v/>
      </c>
      <c r="L53">
        <f>IFERROR(D53/K53,"")</f>
        <v/>
      </c>
    </row>
    <row r="54">
      <c r="C54">
        <f>IFERROR(VLOOKUP(B54,'Subsector Map'!$A:$B,2,0),"")</f>
        <v/>
      </c>
      <c r="K54">
        <f>IFERROR(INDEX(E54:J54,MATCH(YEAR(A54)+1,$E$1:$J$1,0)),"")</f>
        <v/>
      </c>
      <c r="L54">
        <f>IFERROR(D54/K54,"")</f>
        <v/>
      </c>
    </row>
    <row r="55">
      <c r="C55">
        <f>IFERROR(VLOOKUP(B55,'Subsector Map'!$A:$B,2,0),"")</f>
        <v/>
      </c>
      <c r="K55">
        <f>IFERROR(INDEX(E55:J55,MATCH(YEAR(A55)+1,$E$1:$J$1,0)),"")</f>
        <v/>
      </c>
      <c r="L55">
        <f>IFERROR(D55/K55,"")</f>
        <v/>
      </c>
    </row>
    <row r="56">
      <c r="C56">
        <f>IFERROR(VLOOKUP(B56,'Subsector Map'!$A:$B,2,0),"")</f>
        <v/>
      </c>
      <c r="K56">
        <f>IFERROR(INDEX(E56:J56,MATCH(YEAR(A56)+1,$E$1:$J$1,0)),"")</f>
        <v/>
      </c>
      <c r="L56">
        <f>IFERROR(D56/K56,"")</f>
        <v/>
      </c>
    </row>
    <row r="57">
      <c r="C57">
        <f>IFERROR(VLOOKUP(B57,'Subsector Map'!$A:$B,2,0),"")</f>
        <v/>
      </c>
      <c r="K57">
        <f>IFERROR(INDEX(E57:J57,MATCH(YEAR(A57)+1,$E$1:$J$1,0)),"")</f>
        <v/>
      </c>
      <c r="L57">
        <f>IFERROR(D57/K57,"")</f>
        <v/>
      </c>
    </row>
    <row r="58">
      <c r="C58">
        <f>IFERROR(VLOOKUP(B58,'Subsector Map'!$A:$B,2,0),"")</f>
        <v/>
      </c>
      <c r="K58">
        <f>IFERROR(INDEX(E58:J58,MATCH(YEAR(A58)+1,$E$1:$J$1,0)),"")</f>
        <v/>
      </c>
      <c r="L58">
        <f>IFERROR(D58/K58,"")</f>
        <v/>
      </c>
    </row>
    <row r="59">
      <c r="C59">
        <f>IFERROR(VLOOKUP(B59,'Subsector Map'!$A:$B,2,0),"")</f>
        <v/>
      </c>
      <c r="K59">
        <f>IFERROR(INDEX(E59:J59,MATCH(YEAR(A59)+1,$E$1:$J$1,0)),"")</f>
        <v/>
      </c>
      <c r="L59">
        <f>IFERROR(D59/K59,"")</f>
        <v/>
      </c>
    </row>
    <row r="60">
      <c r="C60">
        <f>IFERROR(VLOOKUP(B60,'Subsector Map'!$A:$B,2,0),"")</f>
        <v/>
      </c>
      <c r="K60">
        <f>IFERROR(INDEX(E60:J60,MATCH(YEAR(A60)+1,$E$1:$J$1,0)),"")</f>
        <v/>
      </c>
      <c r="L60">
        <f>IFERROR(D60/K60,"")</f>
        <v/>
      </c>
    </row>
    <row r="61">
      <c r="C61">
        <f>IFERROR(VLOOKUP(B61,'Subsector Map'!$A:$B,2,0),"")</f>
        <v/>
      </c>
      <c r="K61">
        <f>IFERROR(INDEX(E61:J61,MATCH(YEAR(A61)+1,$E$1:$J$1,0)),"")</f>
        <v/>
      </c>
      <c r="L61">
        <f>IFERROR(D61/K61,"")</f>
        <v/>
      </c>
    </row>
    <row r="62">
      <c r="C62">
        <f>IFERROR(VLOOKUP(B62,'Subsector Map'!$A:$B,2,0),"")</f>
        <v/>
      </c>
      <c r="K62">
        <f>IFERROR(INDEX(E62:J62,MATCH(YEAR(A62)+1,$E$1:$J$1,0)),"")</f>
        <v/>
      </c>
      <c r="L62">
        <f>IFERROR(D62/K62,"")</f>
        <v/>
      </c>
    </row>
    <row r="63">
      <c r="C63">
        <f>IFERROR(VLOOKUP(B63,'Subsector Map'!$A:$B,2,0),"")</f>
        <v/>
      </c>
      <c r="K63">
        <f>IFERROR(INDEX(E63:J63,MATCH(YEAR(A63)+1,$E$1:$J$1,0)),"")</f>
        <v/>
      </c>
      <c r="L63">
        <f>IFERROR(D63/K63,"")</f>
        <v/>
      </c>
    </row>
    <row r="64">
      <c r="C64">
        <f>IFERROR(VLOOKUP(B64,'Subsector Map'!$A:$B,2,0),"")</f>
        <v/>
      </c>
      <c r="K64">
        <f>IFERROR(INDEX(E64:J64,MATCH(YEAR(A64)+1,$E$1:$J$1,0)),"")</f>
        <v/>
      </c>
      <c r="L64">
        <f>IFERROR(D64/K64,"")</f>
        <v/>
      </c>
    </row>
    <row r="65">
      <c r="C65">
        <f>IFERROR(VLOOKUP(B65,'Subsector Map'!$A:$B,2,0),"")</f>
        <v/>
      </c>
      <c r="K65">
        <f>IFERROR(INDEX(E65:J65,MATCH(YEAR(A65)+1,$E$1:$J$1,0)),"")</f>
        <v/>
      </c>
      <c r="L65">
        <f>IFERROR(D65/K65,"")</f>
        <v/>
      </c>
    </row>
    <row r="66">
      <c r="C66">
        <f>IFERROR(VLOOKUP(B66,'Subsector Map'!$A:$B,2,0),"")</f>
        <v/>
      </c>
      <c r="K66">
        <f>IFERROR(INDEX(E66:J66,MATCH(YEAR(A66)+1,$E$1:$J$1,0)),"")</f>
        <v/>
      </c>
      <c r="L66">
        <f>IFERROR(D66/K66,"")</f>
        <v/>
      </c>
    </row>
    <row r="67">
      <c r="C67">
        <f>IFERROR(VLOOKUP(B67,'Subsector Map'!$A:$B,2,0),"")</f>
        <v/>
      </c>
      <c r="K67">
        <f>IFERROR(INDEX(E67:J67,MATCH(YEAR(A67)+1,$E$1:$J$1,0)),"")</f>
        <v/>
      </c>
      <c r="L67">
        <f>IFERROR(D67/K67,"")</f>
        <v/>
      </c>
    </row>
    <row r="68">
      <c r="C68">
        <f>IFERROR(VLOOKUP(B68,'Subsector Map'!$A:$B,2,0),"")</f>
        <v/>
      </c>
      <c r="K68">
        <f>IFERROR(INDEX(E68:J68,MATCH(YEAR(A68)+1,$E$1:$J$1,0)),"")</f>
        <v/>
      </c>
      <c r="L68">
        <f>IFERROR(D68/K68,"")</f>
        <v/>
      </c>
    </row>
    <row r="69">
      <c r="C69">
        <f>IFERROR(VLOOKUP(B69,'Subsector Map'!$A:$B,2,0),"")</f>
        <v/>
      </c>
      <c r="K69">
        <f>IFERROR(INDEX(E69:J69,MATCH(YEAR(A69)+1,$E$1:$J$1,0)),"")</f>
        <v/>
      </c>
      <c r="L69">
        <f>IFERROR(D69/K69,"")</f>
        <v/>
      </c>
    </row>
    <row r="70">
      <c r="C70">
        <f>IFERROR(VLOOKUP(B70,'Subsector Map'!$A:$B,2,0),"")</f>
        <v/>
      </c>
      <c r="K70">
        <f>IFERROR(INDEX(E70:J70,MATCH(YEAR(A70)+1,$E$1:$J$1,0)),"")</f>
        <v/>
      </c>
      <c r="L70">
        <f>IFERROR(D70/K70,"")</f>
        <v/>
      </c>
    </row>
    <row r="71">
      <c r="C71">
        <f>IFERROR(VLOOKUP(B71,'Subsector Map'!$A:$B,2,0),"")</f>
        <v/>
      </c>
      <c r="K71">
        <f>IFERROR(INDEX(E71:J71,MATCH(YEAR(A71)+1,$E$1:$J$1,0)),"")</f>
        <v/>
      </c>
      <c r="L71">
        <f>IFERROR(D71/K71,"")</f>
        <v/>
      </c>
    </row>
    <row r="72">
      <c r="C72">
        <f>IFERROR(VLOOKUP(B72,'Subsector Map'!$A:$B,2,0),"")</f>
        <v/>
      </c>
      <c r="K72">
        <f>IFERROR(INDEX(E72:J72,MATCH(YEAR(A72)+1,$E$1:$J$1,0)),"")</f>
        <v/>
      </c>
      <c r="L72">
        <f>IFERROR(D72/K72,"")</f>
        <v/>
      </c>
    </row>
    <row r="73">
      <c r="C73">
        <f>IFERROR(VLOOKUP(B73,'Subsector Map'!$A:$B,2,0),"")</f>
        <v/>
      </c>
      <c r="K73">
        <f>IFERROR(INDEX(E73:J73,MATCH(YEAR(A73)+1,$E$1:$J$1,0)),"")</f>
        <v/>
      </c>
      <c r="L73">
        <f>IFERROR(D73/K73,"")</f>
        <v/>
      </c>
    </row>
    <row r="74">
      <c r="C74">
        <f>IFERROR(VLOOKUP(B74,'Subsector Map'!$A:$B,2,0),"")</f>
        <v/>
      </c>
      <c r="K74">
        <f>IFERROR(INDEX(E74:J74,MATCH(YEAR(A74)+1,$E$1:$J$1,0)),"")</f>
        <v/>
      </c>
      <c r="L74">
        <f>IFERROR(D74/K74,"")</f>
        <v/>
      </c>
    </row>
    <row r="75">
      <c r="C75">
        <f>IFERROR(VLOOKUP(B75,'Subsector Map'!$A:$B,2,0),"")</f>
        <v/>
      </c>
      <c r="K75">
        <f>IFERROR(INDEX(E75:J75,MATCH(YEAR(A75)+1,$E$1:$J$1,0)),"")</f>
        <v/>
      </c>
      <c r="L75">
        <f>IFERROR(D75/K75,"")</f>
        <v/>
      </c>
    </row>
    <row r="76">
      <c r="C76">
        <f>IFERROR(VLOOKUP(B76,'Subsector Map'!$A:$B,2,0),"")</f>
        <v/>
      </c>
      <c r="K76">
        <f>IFERROR(INDEX(E76:J76,MATCH(YEAR(A76)+1,$E$1:$J$1,0)),"")</f>
        <v/>
      </c>
      <c r="L76">
        <f>IFERROR(D76/K76,"")</f>
        <v/>
      </c>
    </row>
    <row r="77">
      <c r="C77">
        <f>IFERROR(VLOOKUP(B77,'Subsector Map'!$A:$B,2,0),"")</f>
        <v/>
      </c>
      <c r="K77">
        <f>IFERROR(INDEX(E77:J77,MATCH(YEAR(A77)+1,$E$1:$J$1,0)),"")</f>
        <v/>
      </c>
      <c r="L77">
        <f>IFERROR(D77/K77,"")</f>
        <v/>
      </c>
    </row>
    <row r="78">
      <c r="C78">
        <f>IFERROR(VLOOKUP(B78,'Subsector Map'!$A:$B,2,0),"")</f>
        <v/>
      </c>
      <c r="K78">
        <f>IFERROR(INDEX(E78:J78,MATCH(YEAR(A78)+1,$E$1:$J$1,0)),"")</f>
        <v/>
      </c>
      <c r="L78">
        <f>IFERROR(D78/K78,"")</f>
        <v/>
      </c>
    </row>
    <row r="79">
      <c r="C79">
        <f>IFERROR(VLOOKUP(B79,'Subsector Map'!$A:$B,2,0),"")</f>
        <v/>
      </c>
      <c r="K79">
        <f>IFERROR(INDEX(E79:J79,MATCH(YEAR(A79)+1,$E$1:$J$1,0)),"")</f>
        <v/>
      </c>
      <c r="L79">
        <f>IFERROR(D79/K79,"")</f>
        <v/>
      </c>
    </row>
    <row r="80">
      <c r="C80">
        <f>IFERROR(VLOOKUP(B80,'Subsector Map'!$A:$B,2,0),"")</f>
        <v/>
      </c>
      <c r="K80">
        <f>IFERROR(INDEX(E80:J80,MATCH(YEAR(A80)+1,$E$1:$J$1,0)),"")</f>
        <v/>
      </c>
      <c r="L80">
        <f>IFERROR(D80/K80,"")</f>
        <v/>
      </c>
    </row>
    <row r="81">
      <c r="C81">
        <f>IFERROR(VLOOKUP(B81,'Subsector Map'!$A:$B,2,0),"")</f>
        <v/>
      </c>
      <c r="K81">
        <f>IFERROR(INDEX(E81:J81,MATCH(YEAR(A81)+1,$E$1:$J$1,0)),"")</f>
        <v/>
      </c>
      <c r="L81">
        <f>IFERROR(D81/K81,"")</f>
        <v/>
      </c>
    </row>
    <row r="82">
      <c r="C82">
        <f>IFERROR(VLOOKUP(B82,'Subsector Map'!$A:$B,2,0),"")</f>
        <v/>
      </c>
      <c r="K82">
        <f>IFERROR(INDEX(E82:J82,MATCH(YEAR(A82)+1,$E$1:$J$1,0)),"")</f>
        <v/>
      </c>
      <c r="L82">
        <f>IFERROR(D82/K82,"")</f>
        <v/>
      </c>
    </row>
    <row r="83">
      <c r="C83">
        <f>IFERROR(VLOOKUP(B83,'Subsector Map'!$A:$B,2,0),"")</f>
        <v/>
      </c>
      <c r="K83">
        <f>IFERROR(INDEX(E83:J83,MATCH(YEAR(A83)+1,$E$1:$J$1,0)),"")</f>
        <v/>
      </c>
      <c r="L83">
        <f>IFERROR(D83/K83,"")</f>
        <v/>
      </c>
    </row>
    <row r="84">
      <c r="C84">
        <f>IFERROR(VLOOKUP(B84,'Subsector Map'!$A:$B,2,0),"")</f>
        <v/>
      </c>
      <c r="K84">
        <f>IFERROR(INDEX(E84:J84,MATCH(YEAR(A84)+1,$E$1:$J$1,0)),"")</f>
        <v/>
      </c>
      <c r="L84">
        <f>IFERROR(D84/K84,"")</f>
        <v/>
      </c>
    </row>
    <row r="85">
      <c r="C85">
        <f>IFERROR(VLOOKUP(B85,'Subsector Map'!$A:$B,2,0),"")</f>
        <v/>
      </c>
      <c r="K85">
        <f>IFERROR(INDEX(E85:J85,MATCH(YEAR(A85)+1,$E$1:$J$1,0)),"")</f>
        <v/>
      </c>
      <c r="L85">
        <f>IFERROR(D85/K85,"")</f>
        <v/>
      </c>
    </row>
    <row r="86">
      <c r="C86">
        <f>IFERROR(VLOOKUP(B86,'Subsector Map'!$A:$B,2,0),"")</f>
        <v/>
      </c>
      <c r="K86">
        <f>IFERROR(INDEX(E86:J86,MATCH(YEAR(A86)+1,$E$1:$J$1,0)),"")</f>
        <v/>
      </c>
      <c r="L86">
        <f>IFERROR(D86/K86,"")</f>
        <v/>
      </c>
    </row>
    <row r="87">
      <c r="C87">
        <f>IFERROR(VLOOKUP(B87,'Subsector Map'!$A:$B,2,0),"")</f>
        <v/>
      </c>
      <c r="K87">
        <f>IFERROR(INDEX(E87:J87,MATCH(YEAR(A87)+1,$E$1:$J$1,0)),"")</f>
        <v/>
      </c>
      <c r="L87">
        <f>IFERROR(D87/K87,"")</f>
        <v/>
      </c>
    </row>
    <row r="88">
      <c r="C88">
        <f>IFERROR(VLOOKUP(B88,'Subsector Map'!$A:$B,2,0),"")</f>
        <v/>
      </c>
      <c r="K88">
        <f>IFERROR(INDEX(E88:J88,MATCH(YEAR(A88)+1,$E$1:$J$1,0)),"")</f>
        <v/>
      </c>
      <c r="L88">
        <f>IFERROR(D88/K88,"")</f>
        <v/>
      </c>
    </row>
    <row r="89">
      <c r="C89">
        <f>IFERROR(VLOOKUP(B89,'Subsector Map'!$A:$B,2,0),"")</f>
        <v/>
      </c>
      <c r="K89">
        <f>IFERROR(INDEX(E89:J89,MATCH(YEAR(A89)+1,$E$1:$J$1,0)),"")</f>
        <v/>
      </c>
      <c r="L89">
        <f>IFERROR(D89/K89,"")</f>
        <v/>
      </c>
    </row>
    <row r="90">
      <c r="C90">
        <f>IFERROR(VLOOKUP(B90,'Subsector Map'!$A:$B,2,0),"")</f>
        <v/>
      </c>
      <c r="K90">
        <f>IFERROR(INDEX(E90:J90,MATCH(YEAR(A90)+1,$E$1:$J$1,0)),"")</f>
        <v/>
      </c>
      <c r="L90">
        <f>IFERROR(D90/K90,"")</f>
        <v/>
      </c>
    </row>
    <row r="91">
      <c r="C91">
        <f>IFERROR(VLOOKUP(B91,'Subsector Map'!$A:$B,2,0),"")</f>
        <v/>
      </c>
      <c r="K91">
        <f>IFERROR(INDEX(E91:J91,MATCH(YEAR(A91)+1,$E$1:$J$1,0)),"")</f>
        <v/>
      </c>
      <c r="L91">
        <f>IFERROR(D91/K91,"")</f>
        <v/>
      </c>
    </row>
    <row r="92">
      <c r="C92">
        <f>IFERROR(VLOOKUP(B92,'Subsector Map'!$A:$B,2,0),"")</f>
        <v/>
      </c>
      <c r="K92">
        <f>IFERROR(INDEX(E92:J92,MATCH(YEAR(A92)+1,$E$1:$J$1,0)),"")</f>
        <v/>
      </c>
      <c r="L92">
        <f>IFERROR(D92/K92,"")</f>
        <v/>
      </c>
    </row>
    <row r="93">
      <c r="C93">
        <f>IFERROR(VLOOKUP(B93,'Subsector Map'!$A:$B,2,0),"")</f>
        <v/>
      </c>
      <c r="K93">
        <f>IFERROR(INDEX(E93:J93,MATCH(YEAR(A93)+1,$E$1:$J$1,0)),"")</f>
        <v/>
      </c>
      <c r="L93">
        <f>IFERROR(D93/K93,"")</f>
        <v/>
      </c>
    </row>
    <row r="94">
      <c r="C94">
        <f>IFERROR(VLOOKUP(B94,'Subsector Map'!$A:$B,2,0),"")</f>
        <v/>
      </c>
      <c r="K94">
        <f>IFERROR(INDEX(E94:J94,MATCH(YEAR(A94)+1,$E$1:$J$1,0)),"")</f>
        <v/>
      </c>
      <c r="L94">
        <f>IFERROR(D94/K94,"")</f>
        <v/>
      </c>
    </row>
    <row r="95">
      <c r="C95">
        <f>IFERROR(VLOOKUP(B95,'Subsector Map'!$A:$B,2,0),"")</f>
        <v/>
      </c>
      <c r="K95">
        <f>IFERROR(INDEX(E95:J95,MATCH(YEAR(A95)+1,$E$1:$J$1,0)),"")</f>
        <v/>
      </c>
      <c r="L95">
        <f>IFERROR(D95/K95,"")</f>
        <v/>
      </c>
    </row>
    <row r="96">
      <c r="C96">
        <f>IFERROR(VLOOKUP(B96,'Subsector Map'!$A:$B,2,0),"")</f>
        <v/>
      </c>
      <c r="K96">
        <f>IFERROR(INDEX(E96:J96,MATCH(YEAR(A96)+1,$E$1:$J$1,0)),"")</f>
        <v/>
      </c>
      <c r="L96">
        <f>IFERROR(D96/K96,"")</f>
        <v/>
      </c>
    </row>
    <row r="97">
      <c r="C97">
        <f>IFERROR(VLOOKUP(B97,'Subsector Map'!$A:$B,2,0),"")</f>
        <v/>
      </c>
      <c r="K97">
        <f>IFERROR(INDEX(E97:J97,MATCH(YEAR(A97)+1,$E$1:$J$1,0)),"")</f>
        <v/>
      </c>
      <c r="L97">
        <f>IFERROR(D97/K97,"")</f>
        <v/>
      </c>
    </row>
    <row r="98">
      <c r="C98">
        <f>IFERROR(VLOOKUP(B98,'Subsector Map'!$A:$B,2,0),"")</f>
        <v/>
      </c>
      <c r="K98">
        <f>IFERROR(INDEX(E98:J98,MATCH(YEAR(A98)+1,$E$1:$J$1,0)),"")</f>
        <v/>
      </c>
      <c r="L98">
        <f>IFERROR(D98/K98,"")</f>
        <v/>
      </c>
    </row>
    <row r="99">
      <c r="C99">
        <f>IFERROR(VLOOKUP(B99,'Subsector Map'!$A:$B,2,0),"")</f>
        <v/>
      </c>
      <c r="K99">
        <f>IFERROR(INDEX(E99:J99,MATCH(YEAR(A99)+1,$E$1:$J$1,0)),"")</f>
        <v/>
      </c>
      <c r="L99">
        <f>IFERROR(D99/K99,"")</f>
        <v/>
      </c>
    </row>
    <row r="100">
      <c r="C100">
        <f>IFERROR(VLOOKUP(B100,'Subsector Map'!$A:$B,2,0),"")</f>
        <v/>
      </c>
      <c r="K100">
        <f>IFERROR(INDEX(E100:J100,MATCH(YEAR(A100)+1,$E$1:$J$1,0)),"")</f>
        <v/>
      </c>
      <c r="L100">
        <f>IFERROR(D100/K100,"")</f>
        <v/>
      </c>
    </row>
    <row r="101">
      <c r="C101">
        <f>IFERROR(VLOOKUP(B101,'Subsector Map'!$A:$B,2,0),"")</f>
        <v/>
      </c>
      <c r="K101">
        <f>IFERROR(INDEX(E101:J101,MATCH(YEAR(A101)+1,$E$1:$J$1,0)),"")</f>
        <v/>
      </c>
      <c r="L101">
        <f>IFERROR(D101/K101,"")</f>
        <v/>
      </c>
    </row>
    <row r="102">
      <c r="C102">
        <f>IFERROR(VLOOKUP(B102,'Subsector Map'!$A:$B,2,0),"")</f>
        <v/>
      </c>
      <c r="K102">
        <f>IFERROR(INDEX(E102:J102,MATCH(YEAR(A102)+1,$E$1:$J$1,0)),"")</f>
        <v/>
      </c>
      <c r="L102">
        <f>IFERROR(D102/K102,"")</f>
        <v/>
      </c>
    </row>
    <row r="103">
      <c r="C103">
        <f>IFERROR(VLOOKUP(B103,'Subsector Map'!$A:$B,2,0),"")</f>
        <v/>
      </c>
      <c r="K103">
        <f>IFERROR(INDEX(E103:J103,MATCH(YEAR(A103)+1,$E$1:$J$1,0)),"")</f>
        <v/>
      </c>
      <c r="L103">
        <f>IFERROR(D103/K103,"")</f>
        <v/>
      </c>
    </row>
    <row r="104">
      <c r="C104">
        <f>IFERROR(VLOOKUP(B104,'Subsector Map'!$A:$B,2,0),"")</f>
        <v/>
      </c>
      <c r="K104">
        <f>IFERROR(INDEX(E104:J104,MATCH(YEAR(A104)+1,$E$1:$J$1,0)),"")</f>
        <v/>
      </c>
      <c r="L104">
        <f>IFERROR(D104/K104,"")</f>
        <v/>
      </c>
    </row>
    <row r="105">
      <c r="C105">
        <f>IFERROR(VLOOKUP(B105,'Subsector Map'!$A:$B,2,0),"")</f>
        <v/>
      </c>
      <c r="K105">
        <f>IFERROR(INDEX(E105:J105,MATCH(YEAR(A105)+1,$E$1:$J$1,0)),"")</f>
        <v/>
      </c>
      <c r="L105">
        <f>IFERROR(D105/K105,"")</f>
        <v/>
      </c>
    </row>
    <row r="106">
      <c r="C106">
        <f>IFERROR(VLOOKUP(B106,'Subsector Map'!$A:$B,2,0),"")</f>
        <v/>
      </c>
      <c r="K106">
        <f>IFERROR(INDEX(E106:J106,MATCH(YEAR(A106)+1,$E$1:$J$1,0)),"")</f>
        <v/>
      </c>
      <c r="L106">
        <f>IFERROR(D106/K106,"")</f>
        <v/>
      </c>
    </row>
    <row r="107">
      <c r="C107">
        <f>IFERROR(VLOOKUP(B107,'Subsector Map'!$A:$B,2,0),"")</f>
        <v/>
      </c>
      <c r="K107">
        <f>IFERROR(INDEX(E107:J107,MATCH(YEAR(A107)+1,$E$1:$J$1,0)),"")</f>
        <v/>
      </c>
      <c r="L107">
        <f>IFERROR(D107/K107,"")</f>
        <v/>
      </c>
    </row>
    <row r="108">
      <c r="C108">
        <f>IFERROR(VLOOKUP(B108,'Subsector Map'!$A:$B,2,0),"")</f>
        <v/>
      </c>
      <c r="K108">
        <f>IFERROR(INDEX(E108:J108,MATCH(YEAR(A108)+1,$E$1:$J$1,0)),"")</f>
        <v/>
      </c>
      <c r="L108">
        <f>IFERROR(D108/K108,"")</f>
        <v/>
      </c>
    </row>
    <row r="109">
      <c r="C109">
        <f>IFERROR(VLOOKUP(B109,'Subsector Map'!$A:$B,2,0),"")</f>
        <v/>
      </c>
      <c r="K109">
        <f>IFERROR(INDEX(E109:J109,MATCH(YEAR(A109)+1,$E$1:$J$1,0)),"")</f>
        <v/>
      </c>
      <c r="L109">
        <f>IFERROR(D109/K109,"")</f>
        <v/>
      </c>
    </row>
    <row r="110">
      <c r="C110">
        <f>IFERROR(VLOOKUP(B110,'Subsector Map'!$A:$B,2,0),"")</f>
        <v/>
      </c>
      <c r="K110">
        <f>IFERROR(INDEX(E110:J110,MATCH(YEAR(A110)+1,$E$1:$J$1,0)),"")</f>
        <v/>
      </c>
      <c r="L110">
        <f>IFERROR(D110/K110,"")</f>
        <v/>
      </c>
    </row>
    <row r="111">
      <c r="C111">
        <f>IFERROR(VLOOKUP(B111,'Subsector Map'!$A:$B,2,0),"")</f>
        <v/>
      </c>
      <c r="K111">
        <f>IFERROR(INDEX(E111:J111,MATCH(YEAR(A111)+1,$E$1:$J$1,0)),"")</f>
        <v/>
      </c>
      <c r="L111">
        <f>IFERROR(D111/K111,"")</f>
        <v/>
      </c>
    </row>
    <row r="112">
      <c r="C112">
        <f>IFERROR(VLOOKUP(B112,'Subsector Map'!$A:$B,2,0),"")</f>
        <v/>
      </c>
      <c r="K112">
        <f>IFERROR(INDEX(E112:J112,MATCH(YEAR(A112)+1,$E$1:$J$1,0)),"")</f>
        <v/>
      </c>
      <c r="L112">
        <f>IFERROR(D112/K112,"")</f>
        <v/>
      </c>
    </row>
    <row r="113">
      <c r="C113">
        <f>IFERROR(VLOOKUP(B113,'Subsector Map'!$A:$B,2,0),"")</f>
        <v/>
      </c>
      <c r="K113">
        <f>IFERROR(INDEX(E113:J113,MATCH(YEAR(A113)+1,$E$1:$J$1,0)),"")</f>
        <v/>
      </c>
      <c r="L113">
        <f>IFERROR(D113/K113,"")</f>
        <v/>
      </c>
    </row>
    <row r="114">
      <c r="C114">
        <f>IFERROR(VLOOKUP(B114,'Subsector Map'!$A:$B,2,0),"")</f>
        <v/>
      </c>
      <c r="K114">
        <f>IFERROR(INDEX(E114:J114,MATCH(YEAR(A114)+1,$E$1:$J$1,0)),"")</f>
        <v/>
      </c>
      <c r="L114">
        <f>IFERROR(D114/K114,"")</f>
        <v/>
      </c>
    </row>
    <row r="115">
      <c r="C115">
        <f>IFERROR(VLOOKUP(B115,'Subsector Map'!$A:$B,2,0),"")</f>
        <v/>
      </c>
      <c r="K115">
        <f>IFERROR(INDEX(E115:J115,MATCH(YEAR(A115)+1,$E$1:$J$1,0)),"")</f>
        <v/>
      </c>
      <c r="L115">
        <f>IFERROR(D115/K115,"")</f>
        <v/>
      </c>
    </row>
    <row r="116">
      <c r="C116">
        <f>IFERROR(VLOOKUP(B116,'Subsector Map'!$A:$B,2,0),"")</f>
        <v/>
      </c>
      <c r="K116">
        <f>IFERROR(INDEX(E116:J116,MATCH(YEAR(A116)+1,$E$1:$J$1,0)),"")</f>
        <v/>
      </c>
      <c r="L116">
        <f>IFERROR(D116/K116,"")</f>
        <v/>
      </c>
    </row>
    <row r="117">
      <c r="C117">
        <f>IFERROR(VLOOKUP(B117,'Subsector Map'!$A:$B,2,0),"")</f>
        <v/>
      </c>
      <c r="K117">
        <f>IFERROR(INDEX(E117:J117,MATCH(YEAR(A117)+1,$E$1:$J$1,0)),"")</f>
        <v/>
      </c>
      <c r="L117">
        <f>IFERROR(D117/K117,"")</f>
        <v/>
      </c>
    </row>
    <row r="118">
      <c r="C118">
        <f>IFERROR(VLOOKUP(B118,'Subsector Map'!$A:$B,2,0),"")</f>
        <v/>
      </c>
      <c r="K118">
        <f>IFERROR(INDEX(E118:J118,MATCH(YEAR(A118)+1,$E$1:$J$1,0)),"")</f>
        <v/>
      </c>
      <c r="L118">
        <f>IFERROR(D118/K118,"")</f>
        <v/>
      </c>
    </row>
    <row r="119">
      <c r="C119">
        <f>IFERROR(VLOOKUP(B119,'Subsector Map'!$A:$B,2,0),"")</f>
        <v/>
      </c>
      <c r="K119">
        <f>IFERROR(INDEX(E119:J119,MATCH(YEAR(A119)+1,$E$1:$J$1,0)),"")</f>
        <v/>
      </c>
      <c r="L119">
        <f>IFERROR(D119/K119,"")</f>
        <v/>
      </c>
    </row>
    <row r="120">
      <c r="C120">
        <f>IFERROR(VLOOKUP(B120,'Subsector Map'!$A:$B,2,0),"")</f>
        <v/>
      </c>
      <c r="K120">
        <f>IFERROR(INDEX(E120:J120,MATCH(YEAR(A120)+1,$E$1:$J$1,0)),"")</f>
        <v/>
      </c>
      <c r="L120">
        <f>IFERROR(D120/K120,"")</f>
        <v/>
      </c>
    </row>
    <row r="121">
      <c r="C121">
        <f>IFERROR(VLOOKUP(B121,'Subsector Map'!$A:$B,2,0),"")</f>
        <v/>
      </c>
      <c r="K121">
        <f>IFERROR(INDEX(E121:J121,MATCH(YEAR(A121)+1,$E$1:$J$1,0)),"")</f>
        <v/>
      </c>
      <c r="L121">
        <f>IFERROR(D121/K121,"")</f>
        <v/>
      </c>
    </row>
    <row r="122">
      <c r="C122">
        <f>IFERROR(VLOOKUP(B122,'Subsector Map'!$A:$B,2,0),"")</f>
        <v/>
      </c>
      <c r="K122">
        <f>IFERROR(INDEX(E122:J122,MATCH(YEAR(A122)+1,$E$1:$J$1,0)),"")</f>
        <v/>
      </c>
      <c r="L122">
        <f>IFERROR(D122/K122,"")</f>
        <v/>
      </c>
    </row>
    <row r="123">
      <c r="C123">
        <f>IFERROR(VLOOKUP(B123,'Subsector Map'!$A:$B,2,0),"")</f>
        <v/>
      </c>
      <c r="K123">
        <f>IFERROR(INDEX(E123:J123,MATCH(YEAR(A123)+1,$E$1:$J$1,0)),"")</f>
        <v/>
      </c>
      <c r="L123">
        <f>IFERROR(D123/K123,"")</f>
        <v/>
      </c>
    </row>
    <row r="124">
      <c r="C124">
        <f>IFERROR(VLOOKUP(B124,'Subsector Map'!$A:$B,2,0),"")</f>
        <v/>
      </c>
      <c r="K124">
        <f>IFERROR(INDEX(E124:J124,MATCH(YEAR(A124)+1,$E$1:$J$1,0)),"")</f>
        <v/>
      </c>
      <c r="L124">
        <f>IFERROR(D124/K124,"")</f>
        <v/>
      </c>
    </row>
    <row r="125">
      <c r="C125">
        <f>IFERROR(VLOOKUP(B125,'Subsector Map'!$A:$B,2,0),"")</f>
        <v/>
      </c>
      <c r="K125">
        <f>IFERROR(INDEX(E125:J125,MATCH(YEAR(A125)+1,$E$1:$J$1,0)),"")</f>
        <v/>
      </c>
      <c r="L125">
        <f>IFERROR(D125/K125,"")</f>
        <v/>
      </c>
    </row>
    <row r="126">
      <c r="C126">
        <f>IFERROR(VLOOKUP(B126,'Subsector Map'!$A:$B,2,0),"")</f>
        <v/>
      </c>
      <c r="K126">
        <f>IFERROR(INDEX(E126:J126,MATCH(YEAR(A126)+1,$E$1:$J$1,0)),"")</f>
        <v/>
      </c>
      <c r="L126">
        <f>IFERROR(D126/K126,"")</f>
        <v/>
      </c>
    </row>
    <row r="127">
      <c r="C127">
        <f>IFERROR(VLOOKUP(B127,'Subsector Map'!$A:$B,2,0),"")</f>
        <v/>
      </c>
      <c r="K127">
        <f>IFERROR(INDEX(E127:J127,MATCH(YEAR(A127)+1,$E$1:$J$1,0)),"")</f>
        <v/>
      </c>
      <c r="L127">
        <f>IFERROR(D127/K127,"")</f>
        <v/>
      </c>
    </row>
    <row r="128">
      <c r="C128">
        <f>IFERROR(VLOOKUP(B128,'Subsector Map'!$A:$B,2,0),"")</f>
        <v/>
      </c>
      <c r="K128">
        <f>IFERROR(INDEX(E128:J128,MATCH(YEAR(A128)+1,$E$1:$J$1,0)),"")</f>
        <v/>
      </c>
      <c r="L128">
        <f>IFERROR(D128/K128,"")</f>
        <v/>
      </c>
    </row>
    <row r="129">
      <c r="C129">
        <f>IFERROR(VLOOKUP(B129,'Subsector Map'!$A:$B,2,0),"")</f>
        <v/>
      </c>
      <c r="K129">
        <f>IFERROR(INDEX(E129:J129,MATCH(YEAR(A129)+1,$E$1:$J$1,0)),"")</f>
        <v/>
      </c>
      <c r="L129">
        <f>IFERROR(D129/K129,"")</f>
        <v/>
      </c>
    </row>
    <row r="130">
      <c r="C130">
        <f>IFERROR(VLOOKUP(B130,'Subsector Map'!$A:$B,2,0),"")</f>
        <v/>
      </c>
      <c r="K130">
        <f>IFERROR(INDEX(E130:J130,MATCH(YEAR(A130)+1,$E$1:$J$1,0)),"")</f>
        <v/>
      </c>
      <c r="L130">
        <f>IFERROR(D130/K130,"")</f>
        <v/>
      </c>
    </row>
    <row r="131">
      <c r="C131">
        <f>IFERROR(VLOOKUP(B131,'Subsector Map'!$A:$B,2,0),"")</f>
        <v/>
      </c>
      <c r="K131">
        <f>IFERROR(INDEX(E131:J131,MATCH(YEAR(A131)+1,$E$1:$J$1,0)),"")</f>
        <v/>
      </c>
      <c r="L131">
        <f>IFERROR(D131/K131,"")</f>
        <v/>
      </c>
    </row>
    <row r="132">
      <c r="C132">
        <f>IFERROR(VLOOKUP(B132,'Subsector Map'!$A:$B,2,0),"")</f>
        <v/>
      </c>
      <c r="K132">
        <f>IFERROR(INDEX(E132:J132,MATCH(YEAR(A132)+1,$E$1:$J$1,0)),"")</f>
        <v/>
      </c>
      <c r="L132">
        <f>IFERROR(D132/K132,"")</f>
        <v/>
      </c>
    </row>
    <row r="133">
      <c r="C133">
        <f>IFERROR(VLOOKUP(B133,'Subsector Map'!$A:$B,2,0),"")</f>
        <v/>
      </c>
      <c r="K133">
        <f>IFERROR(INDEX(E133:J133,MATCH(YEAR(A133)+1,$E$1:$J$1,0)),"")</f>
        <v/>
      </c>
      <c r="L133">
        <f>IFERROR(D133/K133,"")</f>
        <v/>
      </c>
    </row>
    <row r="134">
      <c r="C134">
        <f>IFERROR(VLOOKUP(B134,'Subsector Map'!$A:$B,2,0),"")</f>
        <v/>
      </c>
      <c r="K134">
        <f>IFERROR(INDEX(E134:J134,MATCH(YEAR(A134)+1,$E$1:$J$1,0)),"")</f>
        <v/>
      </c>
      <c r="L134">
        <f>IFERROR(D134/K134,"")</f>
        <v/>
      </c>
    </row>
    <row r="135">
      <c r="C135">
        <f>IFERROR(VLOOKUP(B135,'Subsector Map'!$A:$B,2,0),"")</f>
        <v/>
      </c>
      <c r="K135">
        <f>IFERROR(INDEX(E135:J135,MATCH(YEAR(A135)+1,$E$1:$J$1,0)),"")</f>
        <v/>
      </c>
      <c r="L135">
        <f>IFERROR(D135/K135,"")</f>
        <v/>
      </c>
    </row>
    <row r="136">
      <c r="C136">
        <f>IFERROR(VLOOKUP(B136,'Subsector Map'!$A:$B,2,0),"")</f>
        <v/>
      </c>
      <c r="K136">
        <f>IFERROR(INDEX(E136:J136,MATCH(YEAR(A136)+1,$E$1:$J$1,0)),"")</f>
        <v/>
      </c>
      <c r="L136">
        <f>IFERROR(D136/K136,"")</f>
        <v/>
      </c>
    </row>
    <row r="137">
      <c r="C137">
        <f>IFERROR(VLOOKUP(B137,'Subsector Map'!$A:$B,2,0),"")</f>
        <v/>
      </c>
      <c r="K137">
        <f>IFERROR(INDEX(E137:J137,MATCH(YEAR(A137)+1,$E$1:$J$1,0)),"")</f>
        <v/>
      </c>
      <c r="L137">
        <f>IFERROR(D137/K137,"")</f>
        <v/>
      </c>
    </row>
    <row r="138">
      <c r="C138">
        <f>IFERROR(VLOOKUP(B138,'Subsector Map'!$A:$B,2,0),"")</f>
        <v/>
      </c>
      <c r="K138">
        <f>IFERROR(INDEX(E138:J138,MATCH(YEAR(A138)+1,$E$1:$J$1,0)),"")</f>
        <v/>
      </c>
      <c r="L138">
        <f>IFERROR(D138/K138,"")</f>
        <v/>
      </c>
    </row>
    <row r="139">
      <c r="C139">
        <f>IFERROR(VLOOKUP(B139,'Subsector Map'!$A:$B,2,0),"")</f>
        <v/>
      </c>
      <c r="K139">
        <f>IFERROR(INDEX(E139:J139,MATCH(YEAR(A139)+1,$E$1:$J$1,0)),"")</f>
        <v/>
      </c>
      <c r="L139">
        <f>IFERROR(D139/K139,"")</f>
        <v/>
      </c>
    </row>
    <row r="140">
      <c r="C140">
        <f>IFERROR(VLOOKUP(B140,'Subsector Map'!$A:$B,2,0),"")</f>
        <v/>
      </c>
      <c r="K140">
        <f>IFERROR(INDEX(E140:J140,MATCH(YEAR(A140)+1,$E$1:$J$1,0)),"")</f>
        <v/>
      </c>
      <c r="L140">
        <f>IFERROR(D140/K140,"")</f>
        <v/>
      </c>
    </row>
    <row r="141">
      <c r="C141">
        <f>IFERROR(VLOOKUP(B141,'Subsector Map'!$A:$B,2,0),"")</f>
        <v/>
      </c>
      <c r="K141">
        <f>IFERROR(INDEX(E141:J141,MATCH(YEAR(A141)+1,$E$1:$J$1,0)),"")</f>
        <v/>
      </c>
      <c r="L141">
        <f>IFERROR(D141/K141,"")</f>
        <v/>
      </c>
    </row>
    <row r="142">
      <c r="C142">
        <f>IFERROR(VLOOKUP(B142,'Subsector Map'!$A:$B,2,0),"")</f>
        <v/>
      </c>
      <c r="K142">
        <f>IFERROR(INDEX(E142:J142,MATCH(YEAR(A142)+1,$E$1:$J$1,0)),"")</f>
        <v/>
      </c>
      <c r="L142">
        <f>IFERROR(D142/K142,"")</f>
        <v/>
      </c>
    </row>
    <row r="143">
      <c r="C143">
        <f>IFERROR(VLOOKUP(B143,'Subsector Map'!$A:$B,2,0),"")</f>
        <v/>
      </c>
      <c r="K143">
        <f>IFERROR(INDEX(E143:J143,MATCH(YEAR(A143)+1,$E$1:$J$1,0)),"")</f>
        <v/>
      </c>
      <c r="L143">
        <f>IFERROR(D143/K143,"")</f>
        <v/>
      </c>
    </row>
    <row r="144">
      <c r="C144">
        <f>IFERROR(VLOOKUP(B144,'Subsector Map'!$A:$B,2,0),"")</f>
        <v/>
      </c>
      <c r="K144">
        <f>IFERROR(INDEX(E144:J144,MATCH(YEAR(A144)+1,$E$1:$J$1,0)),"")</f>
        <v/>
      </c>
      <c r="L144">
        <f>IFERROR(D144/K144,"")</f>
        <v/>
      </c>
    </row>
    <row r="145">
      <c r="C145">
        <f>IFERROR(VLOOKUP(B145,'Subsector Map'!$A:$B,2,0),"")</f>
        <v/>
      </c>
      <c r="K145">
        <f>IFERROR(INDEX(E145:J145,MATCH(YEAR(A145)+1,$E$1:$J$1,0)),"")</f>
        <v/>
      </c>
      <c r="L145">
        <f>IFERROR(D145/K145,"")</f>
        <v/>
      </c>
    </row>
    <row r="146">
      <c r="C146">
        <f>IFERROR(VLOOKUP(B146,'Subsector Map'!$A:$B,2,0),"")</f>
        <v/>
      </c>
      <c r="K146">
        <f>IFERROR(INDEX(E146:J146,MATCH(YEAR(A146)+1,$E$1:$J$1,0)),"")</f>
        <v/>
      </c>
      <c r="L146">
        <f>IFERROR(D146/K146,"")</f>
        <v/>
      </c>
    </row>
    <row r="147">
      <c r="C147">
        <f>IFERROR(VLOOKUP(B147,'Subsector Map'!$A:$B,2,0),"")</f>
        <v/>
      </c>
      <c r="K147">
        <f>IFERROR(INDEX(E147:J147,MATCH(YEAR(A147)+1,$E$1:$J$1,0)),"")</f>
        <v/>
      </c>
      <c r="L147">
        <f>IFERROR(D147/K147,"")</f>
        <v/>
      </c>
    </row>
    <row r="148">
      <c r="C148">
        <f>IFERROR(VLOOKUP(B148,'Subsector Map'!$A:$B,2,0),"")</f>
        <v/>
      </c>
      <c r="K148">
        <f>IFERROR(INDEX(E148:J148,MATCH(YEAR(A148)+1,$E$1:$J$1,0)),"")</f>
        <v/>
      </c>
      <c r="L148">
        <f>IFERROR(D148/K148,"")</f>
        <v/>
      </c>
    </row>
    <row r="149">
      <c r="C149">
        <f>IFERROR(VLOOKUP(B149,'Subsector Map'!$A:$B,2,0),"")</f>
        <v/>
      </c>
      <c r="K149">
        <f>IFERROR(INDEX(E149:J149,MATCH(YEAR(A149)+1,$E$1:$J$1,0)),"")</f>
        <v/>
      </c>
      <c r="L149">
        <f>IFERROR(D149/K149,"")</f>
        <v/>
      </c>
    </row>
    <row r="150">
      <c r="C150">
        <f>IFERROR(VLOOKUP(B150,'Subsector Map'!$A:$B,2,0),"")</f>
        <v/>
      </c>
      <c r="K150">
        <f>IFERROR(INDEX(E150:J150,MATCH(YEAR(A150)+1,$E$1:$J$1,0)),"")</f>
        <v/>
      </c>
      <c r="L150">
        <f>IFERROR(D150/K150,"")</f>
        <v/>
      </c>
    </row>
    <row r="151">
      <c r="C151">
        <f>IFERROR(VLOOKUP(B151,'Subsector Map'!$A:$B,2,0),"")</f>
        <v/>
      </c>
      <c r="K151">
        <f>IFERROR(INDEX(E151:J151,MATCH(YEAR(A151)+1,$E$1:$J$1,0)),"")</f>
        <v/>
      </c>
      <c r="L151">
        <f>IFERROR(D151/K151,"")</f>
        <v/>
      </c>
    </row>
    <row r="152">
      <c r="C152">
        <f>IFERROR(VLOOKUP(B152,'Subsector Map'!$A:$B,2,0),"")</f>
        <v/>
      </c>
      <c r="K152">
        <f>IFERROR(INDEX(E152:J152,MATCH(YEAR(A152)+1,$E$1:$J$1,0)),"")</f>
        <v/>
      </c>
      <c r="L152">
        <f>IFERROR(D152/K152,"")</f>
        <v/>
      </c>
    </row>
    <row r="153">
      <c r="C153">
        <f>IFERROR(VLOOKUP(B153,'Subsector Map'!$A:$B,2,0),"")</f>
        <v/>
      </c>
      <c r="K153">
        <f>IFERROR(INDEX(E153:J153,MATCH(YEAR(A153)+1,$E$1:$J$1,0)),"")</f>
        <v/>
      </c>
      <c r="L153">
        <f>IFERROR(D153/K153,"")</f>
        <v/>
      </c>
    </row>
    <row r="154">
      <c r="C154">
        <f>IFERROR(VLOOKUP(B154,'Subsector Map'!$A:$B,2,0),"")</f>
        <v/>
      </c>
      <c r="K154">
        <f>IFERROR(INDEX(E154:J154,MATCH(YEAR(A154)+1,$E$1:$J$1,0)),"")</f>
        <v/>
      </c>
      <c r="L154">
        <f>IFERROR(D154/K154,"")</f>
        <v/>
      </c>
    </row>
    <row r="155">
      <c r="C155">
        <f>IFERROR(VLOOKUP(B155,'Subsector Map'!$A:$B,2,0),"")</f>
        <v/>
      </c>
      <c r="K155">
        <f>IFERROR(INDEX(E155:J155,MATCH(YEAR(A155)+1,$E$1:$J$1,0)),"")</f>
        <v/>
      </c>
      <c r="L155">
        <f>IFERROR(D155/K155,"")</f>
        <v/>
      </c>
    </row>
    <row r="156">
      <c r="C156">
        <f>IFERROR(VLOOKUP(B156,'Subsector Map'!$A:$B,2,0),"")</f>
        <v/>
      </c>
      <c r="K156">
        <f>IFERROR(INDEX(E156:J156,MATCH(YEAR(A156)+1,$E$1:$J$1,0)),"")</f>
        <v/>
      </c>
      <c r="L156">
        <f>IFERROR(D156/K156,"")</f>
        <v/>
      </c>
    </row>
    <row r="157">
      <c r="C157">
        <f>IFERROR(VLOOKUP(B157,'Subsector Map'!$A:$B,2,0),"")</f>
        <v/>
      </c>
      <c r="K157">
        <f>IFERROR(INDEX(E157:J157,MATCH(YEAR(A157)+1,$E$1:$J$1,0)),"")</f>
        <v/>
      </c>
      <c r="L157">
        <f>IFERROR(D157/K157,"")</f>
        <v/>
      </c>
    </row>
    <row r="158">
      <c r="C158">
        <f>IFERROR(VLOOKUP(B158,'Subsector Map'!$A:$B,2,0),"")</f>
        <v/>
      </c>
      <c r="K158">
        <f>IFERROR(INDEX(E158:J158,MATCH(YEAR(A158)+1,$E$1:$J$1,0)),"")</f>
        <v/>
      </c>
      <c r="L158">
        <f>IFERROR(D158/K158,"")</f>
        <v/>
      </c>
    </row>
    <row r="159">
      <c r="C159">
        <f>IFERROR(VLOOKUP(B159,'Subsector Map'!$A:$B,2,0),"")</f>
        <v/>
      </c>
      <c r="K159">
        <f>IFERROR(INDEX(E159:J159,MATCH(YEAR(A159)+1,$E$1:$J$1,0)),"")</f>
        <v/>
      </c>
      <c r="L159">
        <f>IFERROR(D159/K159,"")</f>
        <v/>
      </c>
    </row>
    <row r="160">
      <c r="C160">
        <f>IFERROR(VLOOKUP(B160,'Subsector Map'!$A:$B,2,0),"")</f>
        <v/>
      </c>
      <c r="K160">
        <f>IFERROR(INDEX(E160:J160,MATCH(YEAR(A160)+1,$E$1:$J$1,0)),"")</f>
        <v/>
      </c>
      <c r="L160">
        <f>IFERROR(D160/K160,"")</f>
        <v/>
      </c>
    </row>
    <row r="161">
      <c r="C161">
        <f>IFERROR(VLOOKUP(B161,'Subsector Map'!$A:$B,2,0),"")</f>
        <v/>
      </c>
      <c r="K161">
        <f>IFERROR(INDEX(E161:J161,MATCH(YEAR(A161)+1,$E$1:$J$1,0)),"")</f>
        <v/>
      </c>
      <c r="L161">
        <f>IFERROR(D161/K161,"")</f>
        <v/>
      </c>
    </row>
    <row r="162">
      <c r="C162">
        <f>IFERROR(VLOOKUP(B162,'Subsector Map'!$A:$B,2,0),"")</f>
        <v/>
      </c>
      <c r="K162">
        <f>IFERROR(INDEX(E162:J162,MATCH(YEAR(A162)+1,$E$1:$J$1,0)),"")</f>
        <v/>
      </c>
      <c r="L162">
        <f>IFERROR(D162/K162,"")</f>
        <v/>
      </c>
    </row>
    <row r="163">
      <c r="C163">
        <f>IFERROR(VLOOKUP(B163,'Subsector Map'!$A:$B,2,0),"")</f>
        <v/>
      </c>
      <c r="K163">
        <f>IFERROR(INDEX(E163:J163,MATCH(YEAR(A163)+1,$E$1:$J$1,0)),"")</f>
        <v/>
      </c>
      <c r="L163">
        <f>IFERROR(D163/K163,"")</f>
        <v/>
      </c>
    </row>
    <row r="164">
      <c r="C164">
        <f>IFERROR(VLOOKUP(B164,'Subsector Map'!$A:$B,2,0),"")</f>
        <v/>
      </c>
      <c r="K164">
        <f>IFERROR(INDEX(E164:J164,MATCH(YEAR(A164)+1,$E$1:$J$1,0)),"")</f>
        <v/>
      </c>
      <c r="L164">
        <f>IFERROR(D164/K164,"")</f>
        <v/>
      </c>
    </row>
    <row r="165">
      <c r="C165">
        <f>IFERROR(VLOOKUP(B165,'Subsector Map'!$A:$B,2,0),"")</f>
        <v/>
      </c>
      <c r="K165">
        <f>IFERROR(INDEX(E165:J165,MATCH(YEAR(A165)+1,$E$1:$J$1,0)),"")</f>
        <v/>
      </c>
      <c r="L165">
        <f>IFERROR(D165/K165,"")</f>
        <v/>
      </c>
    </row>
    <row r="166">
      <c r="C166">
        <f>IFERROR(VLOOKUP(B166,'Subsector Map'!$A:$B,2,0),"")</f>
        <v/>
      </c>
      <c r="K166">
        <f>IFERROR(INDEX(E166:J166,MATCH(YEAR(A166)+1,$E$1:$J$1,0)),"")</f>
        <v/>
      </c>
      <c r="L166">
        <f>IFERROR(D166/K166,"")</f>
        <v/>
      </c>
    </row>
    <row r="167">
      <c r="C167">
        <f>IFERROR(VLOOKUP(B167,'Subsector Map'!$A:$B,2,0),"")</f>
        <v/>
      </c>
      <c r="K167">
        <f>IFERROR(INDEX(E167:J167,MATCH(YEAR(A167)+1,$E$1:$J$1,0)),"")</f>
        <v/>
      </c>
      <c r="L167">
        <f>IFERROR(D167/K167,"")</f>
        <v/>
      </c>
    </row>
    <row r="168">
      <c r="C168">
        <f>IFERROR(VLOOKUP(B168,'Subsector Map'!$A:$B,2,0),"")</f>
        <v/>
      </c>
      <c r="K168">
        <f>IFERROR(INDEX(E168:J168,MATCH(YEAR(A168)+1,$E$1:$J$1,0)),"")</f>
        <v/>
      </c>
      <c r="L168">
        <f>IFERROR(D168/K168,"")</f>
        <v/>
      </c>
    </row>
    <row r="169">
      <c r="C169">
        <f>IFERROR(VLOOKUP(B169,'Subsector Map'!$A:$B,2,0),"")</f>
        <v/>
      </c>
      <c r="K169">
        <f>IFERROR(INDEX(E169:J169,MATCH(YEAR(A169)+1,$E$1:$J$1,0)),"")</f>
        <v/>
      </c>
      <c r="L169">
        <f>IFERROR(D169/K169,"")</f>
        <v/>
      </c>
    </row>
    <row r="170">
      <c r="C170">
        <f>IFERROR(VLOOKUP(B170,'Subsector Map'!$A:$B,2,0),"")</f>
        <v/>
      </c>
      <c r="K170">
        <f>IFERROR(INDEX(E170:J170,MATCH(YEAR(A170)+1,$E$1:$J$1,0)),"")</f>
        <v/>
      </c>
      <c r="L170">
        <f>IFERROR(D170/K170,"")</f>
        <v/>
      </c>
    </row>
    <row r="171">
      <c r="C171">
        <f>IFERROR(VLOOKUP(B171,'Subsector Map'!$A:$B,2,0),"")</f>
        <v/>
      </c>
      <c r="K171">
        <f>IFERROR(INDEX(E171:J171,MATCH(YEAR(A171)+1,$E$1:$J$1,0)),"")</f>
        <v/>
      </c>
      <c r="L171">
        <f>IFERROR(D171/K171,"")</f>
        <v/>
      </c>
    </row>
    <row r="172">
      <c r="C172">
        <f>IFERROR(VLOOKUP(B172,'Subsector Map'!$A:$B,2,0),"")</f>
        <v/>
      </c>
      <c r="K172">
        <f>IFERROR(INDEX(E172:J172,MATCH(YEAR(A172)+1,$E$1:$J$1,0)),"")</f>
        <v/>
      </c>
      <c r="L172">
        <f>IFERROR(D172/K172,"")</f>
        <v/>
      </c>
    </row>
    <row r="173">
      <c r="C173">
        <f>IFERROR(VLOOKUP(B173,'Subsector Map'!$A:$B,2,0),"")</f>
        <v/>
      </c>
      <c r="K173">
        <f>IFERROR(INDEX(E173:J173,MATCH(YEAR(A173)+1,$E$1:$J$1,0)),"")</f>
        <v/>
      </c>
      <c r="L173">
        <f>IFERROR(D173/K173,"")</f>
        <v/>
      </c>
    </row>
    <row r="174">
      <c r="C174">
        <f>IFERROR(VLOOKUP(B174,'Subsector Map'!$A:$B,2,0),"")</f>
        <v/>
      </c>
      <c r="K174">
        <f>IFERROR(INDEX(E174:J174,MATCH(YEAR(A174)+1,$E$1:$J$1,0)),"")</f>
        <v/>
      </c>
      <c r="L174">
        <f>IFERROR(D174/K174,"")</f>
        <v/>
      </c>
    </row>
    <row r="175">
      <c r="C175">
        <f>IFERROR(VLOOKUP(B175,'Subsector Map'!$A:$B,2,0),"")</f>
        <v/>
      </c>
      <c r="K175">
        <f>IFERROR(INDEX(E175:J175,MATCH(YEAR(A175)+1,$E$1:$J$1,0)),"")</f>
        <v/>
      </c>
      <c r="L175">
        <f>IFERROR(D175/K175,"")</f>
        <v/>
      </c>
    </row>
    <row r="176">
      <c r="C176">
        <f>IFERROR(VLOOKUP(B176,'Subsector Map'!$A:$B,2,0),"")</f>
        <v/>
      </c>
      <c r="K176">
        <f>IFERROR(INDEX(E176:J176,MATCH(YEAR(A176)+1,$E$1:$J$1,0)),"")</f>
        <v/>
      </c>
      <c r="L176">
        <f>IFERROR(D176/K176,"")</f>
        <v/>
      </c>
    </row>
    <row r="177">
      <c r="C177">
        <f>IFERROR(VLOOKUP(B177,'Subsector Map'!$A:$B,2,0),"")</f>
        <v/>
      </c>
      <c r="K177">
        <f>IFERROR(INDEX(E177:J177,MATCH(YEAR(A177)+1,$E$1:$J$1,0)),"")</f>
        <v/>
      </c>
      <c r="L177">
        <f>IFERROR(D177/K177,"")</f>
        <v/>
      </c>
    </row>
    <row r="178">
      <c r="C178">
        <f>IFERROR(VLOOKUP(B178,'Subsector Map'!$A:$B,2,0),"")</f>
        <v/>
      </c>
      <c r="K178">
        <f>IFERROR(INDEX(E178:J178,MATCH(YEAR(A178)+1,$E$1:$J$1,0)),"")</f>
        <v/>
      </c>
      <c r="L178">
        <f>IFERROR(D178/K178,"")</f>
        <v/>
      </c>
    </row>
    <row r="179">
      <c r="C179">
        <f>IFERROR(VLOOKUP(B179,'Subsector Map'!$A:$B,2,0),"")</f>
        <v/>
      </c>
      <c r="K179">
        <f>IFERROR(INDEX(E179:J179,MATCH(YEAR(A179)+1,$E$1:$J$1,0)),"")</f>
        <v/>
      </c>
      <c r="L179">
        <f>IFERROR(D179/K179,"")</f>
        <v/>
      </c>
    </row>
    <row r="180">
      <c r="C180">
        <f>IFERROR(VLOOKUP(B180,'Subsector Map'!$A:$B,2,0),"")</f>
        <v/>
      </c>
      <c r="K180">
        <f>IFERROR(INDEX(E180:J180,MATCH(YEAR(A180)+1,$E$1:$J$1,0)),"")</f>
        <v/>
      </c>
      <c r="L180">
        <f>IFERROR(D180/K180,"")</f>
        <v/>
      </c>
    </row>
    <row r="181">
      <c r="C181">
        <f>IFERROR(VLOOKUP(B181,'Subsector Map'!$A:$B,2,0),"")</f>
        <v/>
      </c>
      <c r="K181">
        <f>IFERROR(INDEX(E181:J181,MATCH(YEAR(A181)+1,$E$1:$J$1,0)),"")</f>
        <v/>
      </c>
      <c r="L181">
        <f>IFERROR(D181/K181,"")</f>
        <v/>
      </c>
    </row>
    <row r="182">
      <c r="C182">
        <f>IFERROR(VLOOKUP(B182,'Subsector Map'!$A:$B,2,0),"")</f>
        <v/>
      </c>
      <c r="K182">
        <f>IFERROR(INDEX(E182:J182,MATCH(YEAR(A182)+1,$E$1:$J$1,0)),"")</f>
        <v/>
      </c>
      <c r="L182">
        <f>IFERROR(D182/K182,"")</f>
        <v/>
      </c>
    </row>
    <row r="183">
      <c r="C183">
        <f>IFERROR(VLOOKUP(B183,'Subsector Map'!$A:$B,2,0),"")</f>
        <v/>
      </c>
      <c r="K183">
        <f>IFERROR(INDEX(E183:J183,MATCH(YEAR(A183)+1,$E$1:$J$1,0)),"")</f>
        <v/>
      </c>
      <c r="L183">
        <f>IFERROR(D183/K183,"")</f>
        <v/>
      </c>
    </row>
    <row r="184">
      <c r="C184">
        <f>IFERROR(VLOOKUP(B184,'Subsector Map'!$A:$B,2,0),"")</f>
        <v/>
      </c>
      <c r="K184">
        <f>IFERROR(INDEX(E184:J184,MATCH(YEAR(A184)+1,$E$1:$J$1,0)),"")</f>
        <v/>
      </c>
      <c r="L184">
        <f>IFERROR(D184/K184,"")</f>
        <v/>
      </c>
    </row>
    <row r="185">
      <c r="C185">
        <f>IFERROR(VLOOKUP(B185,'Subsector Map'!$A:$B,2,0),"")</f>
        <v/>
      </c>
      <c r="K185">
        <f>IFERROR(INDEX(E185:J185,MATCH(YEAR(A185)+1,$E$1:$J$1,0)),"")</f>
        <v/>
      </c>
      <c r="L185">
        <f>IFERROR(D185/K185,"")</f>
        <v/>
      </c>
    </row>
    <row r="186">
      <c r="C186">
        <f>IFERROR(VLOOKUP(B186,'Subsector Map'!$A:$B,2,0),"")</f>
        <v/>
      </c>
      <c r="K186">
        <f>IFERROR(INDEX(E186:J186,MATCH(YEAR(A186)+1,$E$1:$J$1,0)),"")</f>
        <v/>
      </c>
      <c r="L186">
        <f>IFERROR(D186/K186,"")</f>
        <v/>
      </c>
    </row>
    <row r="187">
      <c r="C187">
        <f>IFERROR(VLOOKUP(B187,'Subsector Map'!$A:$B,2,0),"")</f>
        <v/>
      </c>
      <c r="K187">
        <f>IFERROR(INDEX(E187:J187,MATCH(YEAR(A187)+1,$E$1:$J$1,0)),"")</f>
        <v/>
      </c>
      <c r="L187">
        <f>IFERROR(D187/K187,"")</f>
        <v/>
      </c>
    </row>
    <row r="188">
      <c r="C188">
        <f>IFERROR(VLOOKUP(B188,'Subsector Map'!$A:$B,2,0),"")</f>
        <v/>
      </c>
      <c r="K188">
        <f>IFERROR(INDEX(E188:J188,MATCH(YEAR(A188)+1,$E$1:$J$1,0)),"")</f>
        <v/>
      </c>
      <c r="L188">
        <f>IFERROR(D188/K188,"")</f>
        <v/>
      </c>
    </row>
    <row r="189">
      <c r="C189">
        <f>IFERROR(VLOOKUP(B189,'Subsector Map'!$A:$B,2,0),"")</f>
        <v/>
      </c>
      <c r="K189">
        <f>IFERROR(INDEX(E189:J189,MATCH(YEAR(A189)+1,$E$1:$J$1,0)),"")</f>
        <v/>
      </c>
      <c r="L189">
        <f>IFERROR(D189/K189,"")</f>
        <v/>
      </c>
    </row>
    <row r="190">
      <c r="C190">
        <f>IFERROR(VLOOKUP(B190,'Subsector Map'!$A:$B,2,0),"")</f>
        <v/>
      </c>
      <c r="K190">
        <f>IFERROR(INDEX(E190:J190,MATCH(YEAR(A190)+1,$E$1:$J$1,0)),"")</f>
        <v/>
      </c>
      <c r="L190">
        <f>IFERROR(D190/K190,"")</f>
        <v/>
      </c>
    </row>
    <row r="191">
      <c r="C191">
        <f>IFERROR(VLOOKUP(B191,'Subsector Map'!$A:$B,2,0),"")</f>
        <v/>
      </c>
      <c r="K191">
        <f>IFERROR(INDEX(E191:J191,MATCH(YEAR(A191)+1,$E$1:$J$1,0)),"")</f>
        <v/>
      </c>
      <c r="L191">
        <f>IFERROR(D191/K191,"")</f>
        <v/>
      </c>
    </row>
    <row r="192">
      <c r="C192">
        <f>IFERROR(VLOOKUP(B192,'Subsector Map'!$A:$B,2,0),"")</f>
        <v/>
      </c>
      <c r="K192">
        <f>IFERROR(INDEX(E192:J192,MATCH(YEAR(A192)+1,$E$1:$J$1,0)),"")</f>
        <v/>
      </c>
      <c r="L192">
        <f>IFERROR(D192/K192,"")</f>
        <v/>
      </c>
    </row>
    <row r="193">
      <c r="C193">
        <f>IFERROR(VLOOKUP(B193,'Subsector Map'!$A:$B,2,0),"")</f>
        <v/>
      </c>
      <c r="K193">
        <f>IFERROR(INDEX(E193:J193,MATCH(YEAR(A193)+1,$E$1:$J$1,0)),"")</f>
        <v/>
      </c>
      <c r="L193">
        <f>IFERROR(D193/K193,"")</f>
        <v/>
      </c>
    </row>
    <row r="194">
      <c r="C194">
        <f>IFERROR(VLOOKUP(B194,'Subsector Map'!$A:$B,2,0),"")</f>
        <v/>
      </c>
      <c r="K194">
        <f>IFERROR(INDEX(E194:J194,MATCH(YEAR(A194)+1,$E$1:$J$1,0)),"")</f>
        <v/>
      </c>
      <c r="L194">
        <f>IFERROR(D194/K194,"")</f>
        <v/>
      </c>
    </row>
    <row r="195">
      <c r="C195">
        <f>IFERROR(VLOOKUP(B195,'Subsector Map'!$A:$B,2,0),"")</f>
        <v/>
      </c>
      <c r="K195">
        <f>IFERROR(INDEX(E195:J195,MATCH(YEAR(A195)+1,$E$1:$J$1,0)),"")</f>
        <v/>
      </c>
      <c r="L195">
        <f>IFERROR(D195/K195,"")</f>
        <v/>
      </c>
    </row>
    <row r="196">
      <c r="C196">
        <f>IFERROR(VLOOKUP(B196,'Subsector Map'!$A:$B,2,0),"")</f>
        <v/>
      </c>
      <c r="K196">
        <f>IFERROR(INDEX(E196:J196,MATCH(YEAR(A196)+1,$E$1:$J$1,0)),"")</f>
        <v/>
      </c>
      <c r="L196">
        <f>IFERROR(D196/K196,"")</f>
        <v/>
      </c>
    </row>
    <row r="197">
      <c r="C197">
        <f>IFERROR(VLOOKUP(B197,'Subsector Map'!$A:$B,2,0),"")</f>
        <v/>
      </c>
      <c r="K197">
        <f>IFERROR(INDEX(E197:J197,MATCH(YEAR(A197)+1,$E$1:$J$1,0)),"")</f>
        <v/>
      </c>
      <c r="L197">
        <f>IFERROR(D197/K197,"")</f>
        <v/>
      </c>
    </row>
    <row r="198">
      <c r="C198">
        <f>IFERROR(VLOOKUP(B198,'Subsector Map'!$A:$B,2,0),"")</f>
        <v/>
      </c>
      <c r="K198">
        <f>IFERROR(INDEX(E198:J198,MATCH(YEAR(A198)+1,$E$1:$J$1,0)),"")</f>
        <v/>
      </c>
      <c r="L198">
        <f>IFERROR(D198/K198,"")</f>
        <v/>
      </c>
    </row>
    <row r="199">
      <c r="C199">
        <f>IFERROR(VLOOKUP(B199,'Subsector Map'!$A:$B,2,0),"")</f>
        <v/>
      </c>
      <c r="K199">
        <f>IFERROR(INDEX(E199:J199,MATCH(YEAR(A199)+1,$E$1:$J$1,0)),"")</f>
        <v/>
      </c>
      <c r="L199">
        <f>IFERROR(D199/K199,"")</f>
        <v/>
      </c>
    </row>
    <row r="200">
      <c r="C200">
        <f>IFERROR(VLOOKUP(B200,'Subsector Map'!$A:$B,2,0),"")</f>
        <v/>
      </c>
      <c r="K200">
        <f>IFERROR(INDEX(E200:J200,MATCH(YEAR(A200)+1,$E$1:$J$1,0)),"")</f>
        <v/>
      </c>
      <c r="L200">
        <f>IFERROR(D200/K200,"")</f>
        <v/>
      </c>
    </row>
    <row r="201">
      <c r="C201">
        <f>IFERROR(VLOOKUP(B201,'Subsector Map'!$A:$B,2,0),"")</f>
        <v/>
      </c>
      <c r="K201">
        <f>IFERROR(INDEX(E201:J201,MATCH(YEAR(A201)+1,$E$1:$J$1,0)),"")</f>
        <v/>
      </c>
      <c r="L201">
        <f>IFERROR(D201/K201,"")</f>
        <v/>
      </c>
    </row>
    <row r="202">
      <c r="C202">
        <f>IFERROR(VLOOKUP(B202,'Subsector Map'!$A:$B,2,0),"")</f>
        <v/>
      </c>
      <c r="K202">
        <f>IFERROR(INDEX(E202:J202,MATCH(YEAR(A202)+1,$E$1:$J$1,0)),"")</f>
        <v/>
      </c>
      <c r="L202">
        <f>IFERROR(D202/K202,"")</f>
        <v/>
      </c>
    </row>
    <row r="203">
      <c r="C203">
        <f>IFERROR(VLOOKUP(B203,'Subsector Map'!$A:$B,2,0),"")</f>
        <v/>
      </c>
      <c r="K203">
        <f>IFERROR(INDEX(E203:J203,MATCH(YEAR(A203)+1,$E$1:$J$1,0)),"")</f>
        <v/>
      </c>
      <c r="L203">
        <f>IFERROR(D203/K203,"")</f>
        <v/>
      </c>
    </row>
    <row r="204">
      <c r="C204">
        <f>IFERROR(VLOOKUP(B204,'Subsector Map'!$A:$B,2,0),"")</f>
        <v/>
      </c>
      <c r="K204">
        <f>IFERROR(INDEX(E204:J204,MATCH(YEAR(A204)+1,$E$1:$J$1,0)),"")</f>
        <v/>
      </c>
      <c r="L204">
        <f>IFERROR(D204/K204,"")</f>
        <v/>
      </c>
    </row>
    <row r="205">
      <c r="C205">
        <f>IFERROR(VLOOKUP(B205,'Subsector Map'!$A:$B,2,0),"")</f>
        <v/>
      </c>
      <c r="K205">
        <f>IFERROR(INDEX(E205:J205,MATCH(YEAR(A205)+1,$E$1:$J$1,0)),"")</f>
        <v/>
      </c>
      <c r="L205">
        <f>IFERROR(D205/K205,"")</f>
        <v/>
      </c>
    </row>
    <row r="206">
      <c r="C206">
        <f>IFERROR(VLOOKUP(B206,'Subsector Map'!$A:$B,2,0),"")</f>
        <v/>
      </c>
      <c r="K206">
        <f>IFERROR(INDEX(E206:J206,MATCH(YEAR(A206)+1,$E$1:$J$1,0)),"")</f>
        <v/>
      </c>
      <c r="L206">
        <f>IFERROR(D206/K206,"")</f>
        <v/>
      </c>
    </row>
    <row r="207">
      <c r="C207">
        <f>IFERROR(VLOOKUP(B207,'Subsector Map'!$A:$B,2,0),"")</f>
        <v/>
      </c>
      <c r="K207">
        <f>IFERROR(INDEX(E207:J207,MATCH(YEAR(A207)+1,$E$1:$J$1,0)),"")</f>
        <v/>
      </c>
      <c r="L207">
        <f>IFERROR(D207/K207,"")</f>
        <v/>
      </c>
    </row>
    <row r="208">
      <c r="C208">
        <f>IFERROR(VLOOKUP(B208,'Subsector Map'!$A:$B,2,0),"")</f>
        <v/>
      </c>
      <c r="K208">
        <f>IFERROR(INDEX(E208:J208,MATCH(YEAR(A208)+1,$E$1:$J$1,0)),"")</f>
        <v/>
      </c>
      <c r="L208">
        <f>IFERROR(D208/K208,"")</f>
        <v/>
      </c>
    </row>
    <row r="209">
      <c r="C209">
        <f>IFERROR(VLOOKUP(B209,'Subsector Map'!$A:$B,2,0),"")</f>
        <v/>
      </c>
      <c r="K209">
        <f>IFERROR(INDEX(E209:J209,MATCH(YEAR(A209)+1,$E$1:$J$1,0)),"")</f>
        <v/>
      </c>
      <c r="L209">
        <f>IFERROR(D209/K209,"")</f>
        <v/>
      </c>
    </row>
    <row r="210">
      <c r="C210">
        <f>IFERROR(VLOOKUP(B210,'Subsector Map'!$A:$B,2,0),"")</f>
        <v/>
      </c>
      <c r="K210">
        <f>IFERROR(INDEX(E210:J210,MATCH(YEAR(A210)+1,$E$1:$J$1,0)),"")</f>
        <v/>
      </c>
      <c r="L210">
        <f>IFERROR(D210/K210,"")</f>
        <v/>
      </c>
    </row>
    <row r="211">
      <c r="C211">
        <f>IFERROR(VLOOKUP(B211,'Subsector Map'!$A:$B,2,0),"")</f>
        <v/>
      </c>
      <c r="K211">
        <f>IFERROR(INDEX(E211:J211,MATCH(YEAR(A211)+1,$E$1:$J$1,0)),"")</f>
        <v/>
      </c>
      <c r="L211">
        <f>IFERROR(D211/K211,"")</f>
        <v/>
      </c>
    </row>
    <row r="212">
      <c r="C212">
        <f>IFERROR(VLOOKUP(B212,'Subsector Map'!$A:$B,2,0),"")</f>
        <v/>
      </c>
      <c r="K212">
        <f>IFERROR(INDEX(E212:J212,MATCH(YEAR(A212)+1,$E$1:$J$1,0)),"")</f>
        <v/>
      </c>
      <c r="L212">
        <f>IFERROR(D212/K212,"")</f>
        <v/>
      </c>
    </row>
    <row r="213">
      <c r="C213">
        <f>IFERROR(VLOOKUP(B213,'Subsector Map'!$A:$B,2,0),"")</f>
        <v/>
      </c>
      <c r="K213">
        <f>IFERROR(INDEX(E213:J213,MATCH(YEAR(A213)+1,$E$1:$J$1,0)),"")</f>
        <v/>
      </c>
      <c r="L213">
        <f>IFERROR(D213/K213,"")</f>
        <v/>
      </c>
    </row>
    <row r="214">
      <c r="C214">
        <f>IFERROR(VLOOKUP(B214,'Subsector Map'!$A:$B,2,0),"")</f>
        <v/>
      </c>
      <c r="K214">
        <f>IFERROR(INDEX(E214:J214,MATCH(YEAR(A214)+1,$E$1:$J$1,0)),"")</f>
        <v/>
      </c>
      <c r="L214">
        <f>IFERROR(D214/K214,"")</f>
        <v/>
      </c>
    </row>
    <row r="215">
      <c r="C215">
        <f>IFERROR(VLOOKUP(B215,'Subsector Map'!$A:$B,2,0),"")</f>
        <v/>
      </c>
      <c r="K215">
        <f>IFERROR(INDEX(E215:J215,MATCH(YEAR(A215)+1,$E$1:$J$1,0)),"")</f>
        <v/>
      </c>
      <c r="L215">
        <f>IFERROR(D215/K215,"")</f>
        <v/>
      </c>
    </row>
    <row r="216">
      <c r="C216">
        <f>IFERROR(VLOOKUP(B216,'Subsector Map'!$A:$B,2,0),"")</f>
        <v/>
      </c>
      <c r="K216">
        <f>IFERROR(INDEX(E216:J216,MATCH(YEAR(A216)+1,$E$1:$J$1,0)),"")</f>
        <v/>
      </c>
      <c r="L216">
        <f>IFERROR(D216/K216,"")</f>
        <v/>
      </c>
    </row>
    <row r="217">
      <c r="C217">
        <f>IFERROR(VLOOKUP(B217,'Subsector Map'!$A:$B,2,0),"")</f>
        <v/>
      </c>
      <c r="K217">
        <f>IFERROR(INDEX(E217:J217,MATCH(YEAR(A217)+1,$E$1:$J$1,0)),"")</f>
        <v/>
      </c>
      <c r="L217">
        <f>IFERROR(D217/K217,"")</f>
        <v/>
      </c>
    </row>
    <row r="218">
      <c r="C218">
        <f>IFERROR(VLOOKUP(B218,'Subsector Map'!$A:$B,2,0),"")</f>
        <v/>
      </c>
      <c r="K218">
        <f>IFERROR(INDEX(E218:J218,MATCH(YEAR(A218)+1,$E$1:$J$1,0)),"")</f>
        <v/>
      </c>
      <c r="L218">
        <f>IFERROR(D218/K218,"")</f>
        <v/>
      </c>
    </row>
    <row r="219">
      <c r="C219">
        <f>IFERROR(VLOOKUP(B219,'Subsector Map'!$A:$B,2,0),"")</f>
        <v/>
      </c>
      <c r="K219">
        <f>IFERROR(INDEX(E219:J219,MATCH(YEAR(A219)+1,$E$1:$J$1,0)),"")</f>
        <v/>
      </c>
      <c r="L219">
        <f>IFERROR(D219/K219,"")</f>
        <v/>
      </c>
    </row>
    <row r="220">
      <c r="C220">
        <f>IFERROR(VLOOKUP(B220,'Subsector Map'!$A:$B,2,0),"")</f>
        <v/>
      </c>
      <c r="K220">
        <f>IFERROR(INDEX(E220:J220,MATCH(YEAR(A220)+1,$E$1:$J$1,0)),"")</f>
        <v/>
      </c>
      <c r="L220">
        <f>IFERROR(D220/K220,"")</f>
        <v/>
      </c>
    </row>
    <row r="221">
      <c r="C221">
        <f>IFERROR(VLOOKUP(B221,'Subsector Map'!$A:$B,2,0),"")</f>
        <v/>
      </c>
      <c r="K221">
        <f>IFERROR(INDEX(E221:J221,MATCH(YEAR(A221)+1,$E$1:$J$1,0)),"")</f>
        <v/>
      </c>
      <c r="L221">
        <f>IFERROR(D221/K221,"")</f>
        <v/>
      </c>
    </row>
    <row r="222">
      <c r="C222">
        <f>IFERROR(VLOOKUP(B222,'Subsector Map'!$A:$B,2,0),"")</f>
        <v/>
      </c>
      <c r="K222">
        <f>IFERROR(INDEX(E222:J222,MATCH(YEAR(A222)+1,$E$1:$J$1,0)),"")</f>
        <v/>
      </c>
      <c r="L222">
        <f>IFERROR(D222/K222,"")</f>
        <v/>
      </c>
    </row>
    <row r="223">
      <c r="C223">
        <f>IFERROR(VLOOKUP(B223,'Subsector Map'!$A:$B,2,0),"")</f>
        <v/>
      </c>
      <c r="K223">
        <f>IFERROR(INDEX(E223:J223,MATCH(YEAR(A223)+1,$E$1:$J$1,0)),"")</f>
        <v/>
      </c>
      <c r="L223">
        <f>IFERROR(D223/K223,"")</f>
        <v/>
      </c>
    </row>
    <row r="224">
      <c r="C224">
        <f>IFERROR(VLOOKUP(B224,'Subsector Map'!$A:$B,2,0),"")</f>
        <v/>
      </c>
      <c r="K224">
        <f>IFERROR(INDEX(E224:J224,MATCH(YEAR(A224)+1,$E$1:$J$1,0)),"")</f>
        <v/>
      </c>
      <c r="L224">
        <f>IFERROR(D224/K224,"")</f>
        <v/>
      </c>
    </row>
    <row r="225">
      <c r="C225">
        <f>IFERROR(VLOOKUP(B225,'Subsector Map'!$A:$B,2,0),"")</f>
        <v/>
      </c>
      <c r="K225">
        <f>IFERROR(INDEX(E225:J225,MATCH(YEAR(A225)+1,$E$1:$J$1,0)),"")</f>
        <v/>
      </c>
      <c r="L225">
        <f>IFERROR(D225/K225,"")</f>
        <v/>
      </c>
    </row>
    <row r="226">
      <c r="C226">
        <f>IFERROR(VLOOKUP(B226,'Subsector Map'!$A:$B,2,0),"")</f>
        <v/>
      </c>
      <c r="K226">
        <f>IFERROR(INDEX(E226:J226,MATCH(YEAR(A226)+1,$E$1:$J$1,0)),"")</f>
        <v/>
      </c>
      <c r="L226">
        <f>IFERROR(D226/K226,"")</f>
        <v/>
      </c>
    </row>
    <row r="227">
      <c r="C227">
        <f>IFERROR(VLOOKUP(B227,'Subsector Map'!$A:$B,2,0),"")</f>
        <v/>
      </c>
      <c r="K227">
        <f>IFERROR(INDEX(E227:J227,MATCH(YEAR(A227)+1,$E$1:$J$1,0)),"")</f>
        <v/>
      </c>
      <c r="L227">
        <f>IFERROR(D227/K227,"")</f>
        <v/>
      </c>
    </row>
    <row r="228">
      <c r="C228">
        <f>IFERROR(VLOOKUP(B228,'Subsector Map'!$A:$B,2,0),"")</f>
        <v/>
      </c>
      <c r="K228">
        <f>IFERROR(INDEX(E228:J228,MATCH(YEAR(A228)+1,$E$1:$J$1,0)),"")</f>
        <v/>
      </c>
      <c r="L228">
        <f>IFERROR(D228/K228,"")</f>
        <v/>
      </c>
    </row>
    <row r="229">
      <c r="C229">
        <f>IFERROR(VLOOKUP(B229,'Subsector Map'!$A:$B,2,0),"")</f>
        <v/>
      </c>
      <c r="K229">
        <f>IFERROR(INDEX(E229:J229,MATCH(YEAR(A229)+1,$E$1:$J$1,0)),"")</f>
        <v/>
      </c>
      <c r="L229">
        <f>IFERROR(D229/K229,"")</f>
        <v/>
      </c>
    </row>
    <row r="230">
      <c r="C230">
        <f>IFERROR(VLOOKUP(B230,'Subsector Map'!$A:$B,2,0),"")</f>
        <v/>
      </c>
      <c r="K230">
        <f>IFERROR(INDEX(E230:J230,MATCH(YEAR(A230)+1,$E$1:$J$1,0)),"")</f>
        <v/>
      </c>
      <c r="L230">
        <f>IFERROR(D230/K230,"")</f>
        <v/>
      </c>
    </row>
    <row r="231">
      <c r="C231">
        <f>IFERROR(VLOOKUP(B231,'Subsector Map'!$A:$B,2,0),"")</f>
        <v/>
      </c>
      <c r="K231">
        <f>IFERROR(INDEX(E231:J231,MATCH(YEAR(A231)+1,$E$1:$J$1,0)),"")</f>
        <v/>
      </c>
      <c r="L231">
        <f>IFERROR(D231/K231,"")</f>
        <v/>
      </c>
    </row>
    <row r="232">
      <c r="C232">
        <f>IFERROR(VLOOKUP(B232,'Subsector Map'!$A:$B,2,0),"")</f>
        <v/>
      </c>
      <c r="K232">
        <f>IFERROR(INDEX(E232:J232,MATCH(YEAR(A232)+1,$E$1:$J$1,0)),"")</f>
        <v/>
      </c>
      <c r="L232">
        <f>IFERROR(D232/K232,"")</f>
        <v/>
      </c>
    </row>
    <row r="233">
      <c r="C233">
        <f>IFERROR(VLOOKUP(B233,'Subsector Map'!$A:$B,2,0),"")</f>
        <v/>
      </c>
      <c r="K233">
        <f>IFERROR(INDEX(E233:J233,MATCH(YEAR(A233)+1,$E$1:$J$1,0)),"")</f>
        <v/>
      </c>
      <c r="L233">
        <f>IFERROR(D233/K233,"")</f>
        <v/>
      </c>
    </row>
    <row r="234">
      <c r="C234">
        <f>IFERROR(VLOOKUP(B234,'Subsector Map'!$A:$B,2,0),"")</f>
        <v/>
      </c>
      <c r="K234">
        <f>IFERROR(INDEX(E234:J234,MATCH(YEAR(A234)+1,$E$1:$J$1,0)),"")</f>
        <v/>
      </c>
      <c r="L234">
        <f>IFERROR(D234/K234,"")</f>
        <v/>
      </c>
    </row>
    <row r="235">
      <c r="C235">
        <f>IFERROR(VLOOKUP(B235,'Subsector Map'!$A:$B,2,0),"")</f>
        <v/>
      </c>
      <c r="K235">
        <f>IFERROR(INDEX(E235:J235,MATCH(YEAR(A235)+1,$E$1:$J$1,0)),"")</f>
        <v/>
      </c>
      <c r="L235">
        <f>IFERROR(D235/K235,"")</f>
        <v/>
      </c>
    </row>
    <row r="236">
      <c r="C236">
        <f>IFERROR(VLOOKUP(B236,'Subsector Map'!$A:$B,2,0),"")</f>
        <v/>
      </c>
      <c r="K236">
        <f>IFERROR(INDEX(E236:J236,MATCH(YEAR(A236)+1,$E$1:$J$1,0)),"")</f>
        <v/>
      </c>
      <c r="L236">
        <f>IFERROR(D236/K236,"")</f>
        <v/>
      </c>
    </row>
    <row r="237">
      <c r="C237">
        <f>IFERROR(VLOOKUP(B237,'Subsector Map'!$A:$B,2,0),"")</f>
        <v/>
      </c>
      <c r="K237">
        <f>IFERROR(INDEX(E237:J237,MATCH(YEAR(A237)+1,$E$1:$J$1,0)),"")</f>
        <v/>
      </c>
      <c r="L237">
        <f>IFERROR(D237/K237,"")</f>
        <v/>
      </c>
    </row>
    <row r="238">
      <c r="C238">
        <f>IFERROR(VLOOKUP(B238,'Subsector Map'!$A:$B,2,0),"")</f>
        <v/>
      </c>
      <c r="K238">
        <f>IFERROR(INDEX(E238:J238,MATCH(YEAR(A238)+1,$E$1:$J$1,0)),"")</f>
        <v/>
      </c>
      <c r="L238">
        <f>IFERROR(D238/K238,"")</f>
        <v/>
      </c>
    </row>
    <row r="239">
      <c r="C239">
        <f>IFERROR(VLOOKUP(B239,'Subsector Map'!$A:$B,2,0),"")</f>
        <v/>
      </c>
      <c r="K239">
        <f>IFERROR(INDEX(E239:J239,MATCH(YEAR(A239)+1,$E$1:$J$1,0)),"")</f>
        <v/>
      </c>
      <c r="L239">
        <f>IFERROR(D239/K239,"")</f>
        <v/>
      </c>
    </row>
    <row r="240">
      <c r="C240">
        <f>IFERROR(VLOOKUP(B240,'Subsector Map'!$A:$B,2,0),"")</f>
        <v/>
      </c>
      <c r="K240">
        <f>IFERROR(INDEX(E240:J240,MATCH(YEAR(A240)+1,$E$1:$J$1,0)),"")</f>
        <v/>
      </c>
      <c r="L240">
        <f>IFERROR(D240/K240,"")</f>
        <v/>
      </c>
    </row>
    <row r="241">
      <c r="C241">
        <f>IFERROR(VLOOKUP(B241,'Subsector Map'!$A:$B,2,0),"")</f>
        <v/>
      </c>
      <c r="K241">
        <f>IFERROR(INDEX(E241:J241,MATCH(YEAR(A241)+1,$E$1:$J$1,0)),"")</f>
        <v/>
      </c>
      <c r="L241">
        <f>IFERROR(D241/K241,"")</f>
        <v/>
      </c>
    </row>
    <row r="242">
      <c r="C242">
        <f>IFERROR(VLOOKUP(B242,'Subsector Map'!$A:$B,2,0),"")</f>
        <v/>
      </c>
      <c r="K242">
        <f>IFERROR(INDEX(E242:J242,MATCH(YEAR(A242)+1,$E$1:$J$1,0)),"")</f>
        <v/>
      </c>
      <c r="L242">
        <f>IFERROR(D242/K242,"")</f>
        <v/>
      </c>
    </row>
    <row r="243">
      <c r="C243">
        <f>IFERROR(VLOOKUP(B243,'Subsector Map'!$A:$B,2,0),"")</f>
        <v/>
      </c>
      <c r="K243">
        <f>IFERROR(INDEX(E243:J243,MATCH(YEAR(A243)+1,$E$1:$J$1,0)),"")</f>
        <v/>
      </c>
      <c r="L243">
        <f>IFERROR(D243/K243,"")</f>
        <v/>
      </c>
    </row>
    <row r="244">
      <c r="C244">
        <f>IFERROR(VLOOKUP(B244,'Subsector Map'!$A:$B,2,0),"")</f>
        <v/>
      </c>
      <c r="K244">
        <f>IFERROR(INDEX(E244:J244,MATCH(YEAR(A244)+1,$E$1:$J$1,0)),"")</f>
        <v/>
      </c>
      <c r="L244">
        <f>IFERROR(D244/K244,"")</f>
        <v/>
      </c>
    </row>
    <row r="245">
      <c r="C245">
        <f>IFERROR(VLOOKUP(B245,'Subsector Map'!$A:$B,2,0),"")</f>
        <v/>
      </c>
      <c r="K245">
        <f>IFERROR(INDEX(E245:J245,MATCH(YEAR(A245)+1,$E$1:$J$1,0)),"")</f>
        <v/>
      </c>
      <c r="L245">
        <f>IFERROR(D245/K245,"")</f>
        <v/>
      </c>
    </row>
    <row r="246">
      <c r="C246">
        <f>IFERROR(VLOOKUP(B246,'Subsector Map'!$A:$B,2,0),"")</f>
        <v/>
      </c>
      <c r="K246">
        <f>IFERROR(INDEX(E246:J246,MATCH(YEAR(A246)+1,$E$1:$J$1,0)),"")</f>
        <v/>
      </c>
      <c r="L246">
        <f>IFERROR(D246/K246,"")</f>
        <v/>
      </c>
    </row>
    <row r="247">
      <c r="C247">
        <f>IFERROR(VLOOKUP(B247,'Subsector Map'!$A:$B,2,0),"")</f>
        <v/>
      </c>
      <c r="K247">
        <f>IFERROR(INDEX(E247:J247,MATCH(YEAR(A247)+1,$E$1:$J$1,0)),"")</f>
        <v/>
      </c>
      <c r="L247">
        <f>IFERROR(D247/K247,"")</f>
        <v/>
      </c>
    </row>
    <row r="248">
      <c r="C248">
        <f>IFERROR(VLOOKUP(B248,'Subsector Map'!$A:$B,2,0),"")</f>
        <v/>
      </c>
      <c r="K248">
        <f>IFERROR(INDEX(E248:J248,MATCH(YEAR(A248)+1,$E$1:$J$1,0)),"")</f>
        <v/>
      </c>
      <c r="L248">
        <f>IFERROR(D248/K248,"")</f>
        <v/>
      </c>
    </row>
    <row r="249">
      <c r="C249">
        <f>IFERROR(VLOOKUP(B249,'Subsector Map'!$A:$B,2,0),"")</f>
        <v/>
      </c>
      <c r="K249">
        <f>IFERROR(INDEX(E249:J249,MATCH(YEAR(A249)+1,$E$1:$J$1,0)),"")</f>
        <v/>
      </c>
      <c r="L249">
        <f>IFERROR(D249/K249,"")</f>
        <v/>
      </c>
    </row>
    <row r="250">
      <c r="C250">
        <f>IFERROR(VLOOKUP(B250,'Subsector Map'!$A:$B,2,0),"")</f>
        <v/>
      </c>
      <c r="K250">
        <f>IFERROR(INDEX(E250:J250,MATCH(YEAR(A250)+1,$E$1:$J$1,0)),"")</f>
        <v/>
      </c>
      <c r="L250">
        <f>IFERROR(D250/K250,"")</f>
        <v/>
      </c>
    </row>
    <row r="251">
      <c r="C251">
        <f>IFERROR(VLOOKUP(B251,'Subsector Map'!$A:$B,2,0),"")</f>
        <v/>
      </c>
      <c r="K251">
        <f>IFERROR(INDEX(E251:J251,MATCH(YEAR(A251)+1,$E$1:$J$1,0)),"")</f>
        <v/>
      </c>
      <c r="L251">
        <f>IFERROR(D251/K251,"")</f>
        <v/>
      </c>
    </row>
    <row r="252">
      <c r="C252">
        <f>IFERROR(VLOOKUP(B252,'Subsector Map'!$A:$B,2,0),"")</f>
        <v/>
      </c>
      <c r="K252">
        <f>IFERROR(INDEX(E252:J252,MATCH(YEAR(A252)+1,$E$1:$J$1,0)),"")</f>
        <v/>
      </c>
      <c r="L252">
        <f>IFERROR(D252/K252,"")</f>
        <v/>
      </c>
    </row>
    <row r="253">
      <c r="C253">
        <f>IFERROR(VLOOKUP(B253,'Subsector Map'!$A:$B,2,0),"")</f>
        <v/>
      </c>
      <c r="K253">
        <f>IFERROR(INDEX(E253:J253,MATCH(YEAR(A253)+1,$E$1:$J$1,0)),"")</f>
        <v/>
      </c>
      <c r="L253">
        <f>IFERROR(D253/K253,"")</f>
        <v/>
      </c>
    </row>
    <row r="254">
      <c r="C254">
        <f>IFERROR(VLOOKUP(B254,'Subsector Map'!$A:$B,2,0),"")</f>
        <v/>
      </c>
      <c r="K254">
        <f>IFERROR(INDEX(E254:J254,MATCH(YEAR(A254)+1,$E$1:$J$1,0)),"")</f>
        <v/>
      </c>
      <c r="L254">
        <f>IFERROR(D254/K254,"")</f>
        <v/>
      </c>
    </row>
    <row r="255">
      <c r="C255">
        <f>IFERROR(VLOOKUP(B255,'Subsector Map'!$A:$B,2,0),"")</f>
        <v/>
      </c>
      <c r="K255">
        <f>IFERROR(INDEX(E255:J255,MATCH(YEAR(A255)+1,$E$1:$J$1,0)),"")</f>
        <v/>
      </c>
      <c r="L255">
        <f>IFERROR(D255/K255,"")</f>
        <v/>
      </c>
    </row>
    <row r="256">
      <c r="C256">
        <f>IFERROR(VLOOKUP(B256,'Subsector Map'!$A:$B,2,0),"")</f>
        <v/>
      </c>
      <c r="K256">
        <f>IFERROR(INDEX(E256:J256,MATCH(YEAR(A256)+1,$E$1:$J$1,0)),"")</f>
        <v/>
      </c>
      <c r="L256">
        <f>IFERROR(D256/K256,"")</f>
        <v/>
      </c>
    </row>
    <row r="257">
      <c r="C257">
        <f>IFERROR(VLOOKUP(B257,'Subsector Map'!$A:$B,2,0),"")</f>
        <v/>
      </c>
      <c r="K257">
        <f>IFERROR(INDEX(E257:J257,MATCH(YEAR(A257)+1,$E$1:$J$1,0)),"")</f>
        <v/>
      </c>
      <c r="L257">
        <f>IFERROR(D257/K257,"")</f>
        <v/>
      </c>
    </row>
    <row r="258">
      <c r="C258">
        <f>IFERROR(VLOOKUP(B258,'Subsector Map'!$A:$B,2,0),"")</f>
        <v/>
      </c>
      <c r="K258">
        <f>IFERROR(INDEX(E258:J258,MATCH(YEAR(A258)+1,$E$1:$J$1,0)),"")</f>
        <v/>
      </c>
      <c r="L258">
        <f>IFERROR(D258/K258,"")</f>
        <v/>
      </c>
    </row>
    <row r="259">
      <c r="C259">
        <f>IFERROR(VLOOKUP(B259,'Subsector Map'!$A:$B,2,0),"")</f>
        <v/>
      </c>
      <c r="K259">
        <f>IFERROR(INDEX(E259:J259,MATCH(YEAR(A259)+1,$E$1:$J$1,0)),"")</f>
        <v/>
      </c>
      <c r="L259">
        <f>IFERROR(D259/K259,"")</f>
        <v/>
      </c>
    </row>
    <row r="260">
      <c r="C260">
        <f>IFERROR(VLOOKUP(B260,'Subsector Map'!$A:$B,2,0),"")</f>
        <v/>
      </c>
      <c r="K260">
        <f>IFERROR(INDEX(E260:J260,MATCH(YEAR(A260)+1,$E$1:$J$1,0)),"")</f>
        <v/>
      </c>
      <c r="L260">
        <f>IFERROR(D260/K260,"")</f>
        <v/>
      </c>
    </row>
    <row r="261">
      <c r="C261">
        <f>IFERROR(VLOOKUP(B261,'Subsector Map'!$A:$B,2,0),"")</f>
        <v/>
      </c>
      <c r="K261">
        <f>IFERROR(INDEX(E261:J261,MATCH(YEAR(A261)+1,$E$1:$J$1,0)),"")</f>
        <v/>
      </c>
      <c r="L261">
        <f>IFERROR(D261/K261,"")</f>
        <v/>
      </c>
    </row>
    <row r="262">
      <c r="C262">
        <f>IFERROR(VLOOKUP(B262,'Subsector Map'!$A:$B,2,0),"")</f>
        <v/>
      </c>
      <c r="K262">
        <f>IFERROR(INDEX(E262:J262,MATCH(YEAR(A262)+1,$E$1:$J$1,0)),"")</f>
        <v/>
      </c>
      <c r="L262">
        <f>IFERROR(D262/K262,"")</f>
        <v/>
      </c>
    </row>
    <row r="263">
      <c r="C263">
        <f>IFERROR(VLOOKUP(B263,'Subsector Map'!$A:$B,2,0),"")</f>
        <v/>
      </c>
      <c r="K263">
        <f>IFERROR(INDEX(E263:J263,MATCH(YEAR(A263)+1,$E$1:$J$1,0)),"")</f>
        <v/>
      </c>
      <c r="L263">
        <f>IFERROR(D263/K263,"")</f>
        <v/>
      </c>
    </row>
    <row r="264">
      <c r="C264">
        <f>IFERROR(VLOOKUP(B264,'Subsector Map'!$A:$B,2,0),"")</f>
        <v/>
      </c>
      <c r="K264">
        <f>IFERROR(INDEX(E264:J264,MATCH(YEAR(A264)+1,$E$1:$J$1,0)),"")</f>
        <v/>
      </c>
      <c r="L264">
        <f>IFERROR(D264/K264,"")</f>
        <v/>
      </c>
    </row>
    <row r="265">
      <c r="C265">
        <f>IFERROR(VLOOKUP(B265,'Subsector Map'!$A:$B,2,0),"")</f>
        <v/>
      </c>
      <c r="K265">
        <f>IFERROR(INDEX(E265:J265,MATCH(YEAR(A265)+1,$E$1:$J$1,0)),"")</f>
        <v/>
      </c>
      <c r="L265">
        <f>IFERROR(D265/K265,"")</f>
        <v/>
      </c>
    </row>
    <row r="266">
      <c r="C266">
        <f>IFERROR(VLOOKUP(B266,'Subsector Map'!$A:$B,2,0),"")</f>
        <v/>
      </c>
      <c r="K266">
        <f>IFERROR(INDEX(E266:J266,MATCH(YEAR(A266)+1,$E$1:$J$1,0)),"")</f>
        <v/>
      </c>
      <c r="L266">
        <f>IFERROR(D266/K266,"")</f>
        <v/>
      </c>
    </row>
    <row r="267">
      <c r="C267">
        <f>IFERROR(VLOOKUP(B267,'Subsector Map'!$A:$B,2,0),"")</f>
        <v/>
      </c>
      <c r="K267">
        <f>IFERROR(INDEX(E267:J267,MATCH(YEAR(A267)+1,$E$1:$J$1,0)),"")</f>
        <v/>
      </c>
      <c r="L267">
        <f>IFERROR(D267/K267,"")</f>
        <v/>
      </c>
    </row>
    <row r="268">
      <c r="C268">
        <f>IFERROR(VLOOKUP(B268,'Subsector Map'!$A:$B,2,0),"")</f>
        <v/>
      </c>
      <c r="K268">
        <f>IFERROR(INDEX(E268:J268,MATCH(YEAR(A268)+1,$E$1:$J$1,0)),"")</f>
        <v/>
      </c>
      <c r="L268">
        <f>IFERROR(D268/K268,"")</f>
        <v/>
      </c>
    </row>
    <row r="269">
      <c r="C269">
        <f>IFERROR(VLOOKUP(B269,'Subsector Map'!$A:$B,2,0),"")</f>
        <v/>
      </c>
      <c r="K269">
        <f>IFERROR(INDEX(E269:J269,MATCH(YEAR(A269)+1,$E$1:$J$1,0)),"")</f>
        <v/>
      </c>
      <c r="L269">
        <f>IFERROR(D269/K269,"")</f>
        <v/>
      </c>
    </row>
    <row r="270">
      <c r="C270">
        <f>IFERROR(VLOOKUP(B270,'Subsector Map'!$A:$B,2,0),"")</f>
        <v/>
      </c>
      <c r="K270">
        <f>IFERROR(INDEX(E270:J270,MATCH(YEAR(A270)+1,$E$1:$J$1,0)),"")</f>
        <v/>
      </c>
      <c r="L270">
        <f>IFERROR(D270/K270,"")</f>
        <v/>
      </c>
    </row>
    <row r="271">
      <c r="C271">
        <f>IFERROR(VLOOKUP(B271,'Subsector Map'!$A:$B,2,0),"")</f>
        <v/>
      </c>
      <c r="K271">
        <f>IFERROR(INDEX(E271:J271,MATCH(YEAR(A271)+1,$E$1:$J$1,0)),"")</f>
        <v/>
      </c>
      <c r="L271">
        <f>IFERROR(D271/K271,"")</f>
        <v/>
      </c>
    </row>
    <row r="272">
      <c r="C272">
        <f>IFERROR(VLOOKUP(B272,'Subsector Map'!$A:$B,2,0),"")</f>
        <v/>
      </c>
      <c r="K272">
        <f>IFERROR(INDEX(E272:J272,MATCH(YEAR(A272)+1,$E$1:$J$1,0)),"")</f>
        <v/>
      </c>
      <c r="L272">
        <f>IFERROR(D272/K272,"")</f>
        <v/>
      </c>
    </row>
    <row r="273">
      <c r="C273">
        <f>IFERROR(VLOOKUP(B273,'Subsector Map'!$A:$B,2,0),"")</f>
        <v/>
      </c>
      <c r="K273">
        <f>IFERROR(INDEX(E273:J273,MATCH(YEAR(A273)+1,$E$1:$J$1,0)),"")</f>
        <v/>
      </c>
      <c r="L273">
        <f>IFERROR(D273/K273,"")</f>
        <v/>
      </c>
    </row>
    <row r="274">
      <c r="C274">
        <f>IFERROR(VLOOKUP(B274,'Subsector Map'!$A:$B,2,0),"")</f>
        <v/>
      </c>
      <c r="K274">
        <f>IFERROR(INDEX(E274:J274,MATCH(YEAR(A274)+1,$E$1:$J$1,0)),"")</f>
        <v/>
      </c>
      <c r="L274">
        <f>IFERROR(D274/K274,"")</f>
        <v/>
      </c>
    </row>
    <row r="275">
      <c r="C275">
        <f>IFERROR(VLOOKUP(B275,'Subsector Map'!$A:$B,2,0),"")</f>
        <v/>
      </c>
      <c r="K275">
        <f>IFERROR(INDEX(E275:J275,MATCH(YEAR(A275)+1,$E$1:$J$1,0)),"")</f>
        <v/>
      </c>
      <c r="L275">
        <f>IFERROR(D275/K275,"")</f>
        <v/>
      </c>
    </row>
    <row r="276">
      <c r="C276">
        <f>IFERROR(VLOOKUP(B276,'Subsector Map'!$A:$B,2,0),"")</f>
        <v/>
      </c>
      <c r="K276">
        <f>IFERROR(INDEX(E276:J276,MATCH(YEAR(A276)+1,$E$1:$J$1,0)),"")</f>
        <v/>
      </c>
      <c r="L276">
        <f>IFERROR(D276/K276,"")</f>
        <v/>
      </c>
    </row>
    <row r="277">
      <c r="C277">
        <f>IFERROR(VLOOKUP(B277,'Subsector Map'!$A:$B,2,0),"")</f>
        <v/>
      </c>
      <c r="K277">
        <f>IFERROR(INDEX(E277:J277,MATCH(YEAR(A277)+1,$E$1:$J$1,0)),"")</f>
        <v/>
      </c>
      <c r="L277">
        <f>IFERROR(D277/K277,"")</f>
        <v/>
      </c>
    </row>
    <row r="278">
      <c r="C278">
        <f>IFERROR(VLOOKUP(B278,'Subsector Map'!$A:$B,2,0),"")</f>
        <v/>
      </c>
      <c r="K278">
        <f>IFERROR(INDEX(E278:J278,MATCH(YEAR(A278)+1,$E$1:$J$1,0)),"")</f>
        <v/>
      </c>
      <c r="L278">
        <f>IFERROR(D278/K278,"")</f>
        <v/>
      </c>
    </row>
    <row r="279">
      <c r="C279">
        <f>IFERROR(VLOOKUP(B279,'Subsector Map'!$A:$B,2,0),"")</f>
        <v/>
      </c>
      <c r="K279">
        <f>IFERROR(INDEX(E279:J279,MATCH(YEAR(A279)+1,$E$1:$J$1,0)),"")</f>
        <v/>
      </c>
      <c r="L279">
        <f>IFERROR(D279/K279,"")</f>
        <v/>
      </c>
    </row>
    <row r="280">
      <c r="C280">
        <f>IFERROR(VLOOKUP(B280,'Subsector Map'!$A:$B,2,0),"")</f>
        <v/>
      </c>
      <c r="K280">
        <f>IFERROR(INDEX(E280:J280,MATCH(YEAR(A280)+1,$E$1:$J$1,0)),"")</f>
        <v/>
      </c>
      <c r="L280">
        <f>IFERROR(D280/K280,"")</f>
        <v/>
      </c>
    </row>
    <row r="281">
      <c r="C281">
        <f>IFERROR(VLOOKUP(B281,'Subsector Map'!$A:$B,2,0),"")</f>
        <v/>
      </c>
      <c r="K281">
        <f>IFERROR(INDEX(E281:J281,MATCH(YEAR(A281)+1,$E$1:$J$1,0)),"")</f>
        <v/>
      </c>
      <c r="L281">
        <f>IFERROR(D281/K281,"")</f>
        <v/>
      </c>
    </row>
    <row r="282">
      <c r="C282">
        <f>IFERROR(VLOOKUP(B282,'Subsector Map'!$A:$B,2,0),"")</f>
        <v/>
      </c>
      <c r="K282">
        <f>IFERROR(INDEX(E282:J282,MATCH(YEAR(A282)+1,$E$1:$J$1,0)),"")</f>
        <v/>
      </c>
      <c r="L282">
        <f>IFERROR(D282/K282,"")</f>
        <v/>
      </c>
    </row>
    <row r="283">
      <c r="C283">
        <f>IFERROR(VLOOKUP(B283,'Subsector Map'!$A:$B,2,0),"")</f>
        <v/>
      </c>
      <c r="K283">
        <f>IFERROR(INDEX(E283:J283,MATCH(YEAR(A283)+1,$E$1:$J$1,0)),"")</f>
        <v/>
      </c>
      <c r="L283">
        <f>IFERROR(D283/K283,"")</f>
        <v/>
      </c>
    </row>
    <row r="284">
      <c r="C284">
        <f>IFERROR(VLOOKUP(B284,'Subsector Map'!$A:$B,2,0),"")</f>
        <v/>
      </c>
      <c r="K284">
        <f>IFERROR(INDEX(E284:J284,MATCH(YEAR(A284)+1,$E$1:$J$1,0)),"")</f>
        <v/>
      </c>
      <c r="L284">
        <f>IFERROR(D284/K284,"")</f>
        <v/>
      </c>
    </row>
    <row r="285">
      <c r="C285">
        <f>IFERROR(VLOOKUP(B285,'Subsector Map'!$A:$B,2,0),"")</f>
        <v/>
      </c>
      <c r="K285">
        <f>IFERROR(INDEX(E285:J285,MATCH(YEAR(A285)+1,$E$1:$J$1,0)),"")</f>
        <v/>
      </c>
      <c r="L285">
        <f>IFERROR(D285/K285,"")</f>
        <v/>
      </c>
    </row>
    <row r="286">
      <c r="C286">
        <f>IFERROR(VLOOKUP(B286,'Subsector Map'!$A:$B,2,0),"")</f>
        <v/>
      </c>
      <c r="K286">
        <f>IFERROR(INDEX(E286:J286,MATCH(YEAR(A286)+1,$E$1:$J$1,0)),"")</f>
        <v/>
      </c>
      <c r="L286">
        <f>IFERROR(D286/K286,"")</f>
        <v/>
      </c>
    </row>
    <row r="287">
      <c r="C287">
        <f>IFERROR(VLOOKUP(B287,'Subsector Map'!$A:$B,2,0),"")</f>
        <v/>
      </c>
      <c r="K287">
        <f>IFERROR(INDEX(E287:J287,MATCH(YEAR(A287)+1,$E$1:$J$1,0)),"")</f>
        <v/>
      </c>
      <c r="L287">
        <f>IFERROR(D287/K287,"")</f>
        <v/>
      </c>
    </row>
    <row r="288">
      <c r="C288">
        <f>IFERROR(VLOOKUP(B288,'Subsector Map'!$A:$B,2,0),"")</f>
        <v/>
      </c>
      <c r="K288">
        <f>IFERROR(INDEX(E288:J288,MATCH(YEAR(A288)+1,$E$1:$J$1,0)),"")</f>
        <v/>
      </c>
      <c r="L288">
        <f>IFERROR(D288/K288,"")</f>
        <v/>
      </c>
    </row>
    <row r="289">
      <c r="C289">
        <f>IFERROR(VLOOKUP(B289,'Subsector Map'!$A:$B,2,0),"")</f>
        <v/>
      </c>
      <c r="K289">
        <f>IFERROR(INDEX(E289:J289,MATCH(YEAR(A289)+1,$E$1:$J$1,0)),"")</f>
        <v/>
      </c>
      <c r="L289">
        <f>IFERROR(D289/K289,"")</f>
        <v/>
      </c>
    </row>
    <row r="290">
      <c r="C290">
        <f>IFERROR(VLOOKUP(B290,'Subsector Map'!$A:$B,2,0),"")</f>
        <v/>
      </c>
      <c r="K290">
        <f>IFERROR(INDEX(E290:J290,MATCH(YEAR(A290)+1,$E$1:$J$1,0)),"")</f>
        <v/>
      </c>
      <c r="L290">
        <f>IFERROR(D290/K290,"")</f>
        <v/>
      </c>
    </row>
    <row r="291">
      <c r="C291">
        <f>IFERROR(VLOOKUP(B291,'Subsector Map'!$A:$B,2,0),"")</f>
        <v/>
      </c>
      <c r="K291">
        <f>IFERROR(INDEX(E291:J291,MATCH(YEAR(A291)+1,$E$1:$J$1,0)),"")</f>
        <v/>
      </c>
      <c r="L291">
        <f>IFERROR(D291/K291,"")</f>
        <v/>
      </c>
    </row>
    <row r="292">
      <c r="C292">
        <f>IFERROR(VLOOKUP(B292,'Subsector Map'!$A:$B,2,0),"")</f>
        <v/>
      </c>
      <c r="K292">
        <f>IFERROR(INDEX(E292:J292,MATCH(YEAR(A292)+1,$E$1:$J$1,0)),"")</f>
        <v/>
      </c>
      <c r="L292">
        <f>IFERROR(D292/K292,"")</f>
        <v/>
      </c>
    </row>
    <row r="293">
      <c r="C293">
        <f>IFERROR(VLOOKUP(B293,'Subsector Map'!$A:$B,2,0),"")</f>
        <v/>
      </c>
      <c r="K293">
        <f>IFERROR(INDEX(E293:J293,MATCH(YEAR(A293)+1,$E$1:$J$1,0)),"")</f>
        <v/>
      </c>
      <c r="L293">
        <f>IFERROR(D293/K293,"")</f>
        <v/>
      </c>
    </row>
    <row r="294">
      <c r="C294">
        <f>IFERROR(VLOOKUP(B294,'Subsector Map'!$A:$B,2,0),"")</f>
        <v/>
      </c>
      <c r="K294">
        <f>IFERROR(INDEX(E294:J294,MATCH(YEAR(A294)+1,$E$1:$J$1,0)),"")</f>
        <v/>
      </c>
      <c r="L294">
        <f>IFERROR(D294/K294,"")</f>
        <v/>
      </c>
    </row>
    <row r="295">
      <c r="C295">
        <f>IFERROR(VLOOKUP(B295,'Subsector Map'!$A:$B,2,0),"")</f>
        <v/>
      </c>
      <c r="K295">
        <f>IFERROR(INDEX(E295:J295,MATCH(YEAR(A295)+1,$E$1:$J$1,0)),"")</f>
        <v/>
      </c>
      <c r="L295">
        <f>IFERROR(D295/K295,"")</f>
        <v/>
      </c>
    </row>
    <row r="296">
      <c r="C296">
        <f>IFERROR(VLOOKUP(B296,'Subsector Map'!$A:$B,2,0),"")</f>
        <v/>
      </c>
      <c r="K296">
        <f>IFERROR(INDEX(E296:J296,MATCH(YEAR(A296)+1,$E$1:$J$1,0)),"")</f>
        <v/>
      </c>
      <c r="L296">
        <f>IFERROR(D296/K296,"")</f>
        <v/>
      </c>
    </row>
    <row r="297">
      <c r="C297">
        <f>IFERROR(VLOOKUP(B297,'Subsector Map'!$A:$B,2,0),"")</f>
        <v/>
      </c>
      <c r="K297">
        <f>IFERROR(INDEX(E297:J297,MATCH(YEAR(A297)+1,$E$1:$J$1,0)),"")</f>
        <v/>
      </c>
      <c r="L297">
        <f>IFERROR(D297/K297,"")</f>
        <v/>
      </c>
    </row>
    <row r="298">
      <c r="C298">
        <f>IFERROR(VLOOKUP(B298,'Subsector Map'!$A:$B,2,0),"")</f>
        <v/>
      </c>
      <c r="K298">
        <f>IFERROR(INDEX(E298:J298,MATCH(YEAR(A298)+1,$E$1:$J$1,0)),"")</f>
        <v/>
      </c>
      <c r="L298">
        <f>IFERROR(D298/K298,"")</f>
        <v/>
      </c>
    </row>
    <row r="299">
      <c r="C299">
        <f>IFERROR(VLOOKUP(B299,'Subsector Map'!$A:$B,2,0),"")</f>
        <v/>
      </c>
      <c r="K299">
        <f>IFERROR(INDEX(E299:J299,MATCH(YEAR(A299)+1,$E$1:$J$1,0)),"")</f>
        <v/>
      </c>
      <c r="L299">
        <f>IFERROR(D299/K299,"")</f>
        <v/>
      </c>
    </row>
    <row r="300">
      <c r="C300">
        <f>IFERROR(VLOOKUP(B300,'Subsector Map'!$A:$B,2,0),"")</f>
        <v/>
      </c>
      <c r="K300">
        <f>IFERROR(INDEX(E300:J300,MATCH(YEAR(A300)+1,$E$1:$J$1,0)),"")</f>
        <v/>
      </c>
      <c r="L300">
        <f>IFERROR(D300/K300,"")</f>
        <v/>
      </c>
    </row>
    <row r="301">
      <c r="C301">
        <f>IFERROR(VLOOKUP(B301,'Subsector Map'!$A:$B,2,0),"")</f>
        <v/>
      </c>
      <c r="K301">
        <f>IFERROR(INDEX(E301:J301,MATCH(YEAR(A301)+1,$E$1:$J$1,0)),"")</f>
        <v/>
      </c>
      <c r="L301">
        <f>IFERROR(D301/K301,"")</f>
        <v/>
      </c>
    </row>
    <row r="302">
      <c r="C302">
        <f>IFERROR(VLOOKUP(B302,'Subsector Map'!$A:$B,2,0),"")</f>
        <v/>
      </c>
      <c r="K302">
        <f>IFERROR(INDEX(E302:J302,MATCH(YEAR(A302)+1,$E$1:$J$1,0)),"")</f>
        <v/>
      </c>
      <c r="L302">
        <f>IFERROR(D302/K302,"")</f>
        <v/>
      </c>
    </row>
    <row r="303">
      <c r="C303">
        <f>IFERROR(VLOOKUP(B303,'Subsector Map'!$A:$B,2,0),"")</f>
        <v/>
      </c>
      <c r="K303">
        <f>IFERROR(INDEX(E303:J303,MATCH(YEAR(A303)+1,$E$1:$J$1,0)),"")</f>
        <v/>
      </c>
      <c r="L303">
        <f>IFERROR(D303/K303,"")</f>
        <v/>
      </c>
    </row>
    <row r="304">
      <c r="C304">
        <f>IFERROR(VLOOKUP(B304,'Subsector Map'!$A:$B,2,0),"")</f>
        <v/>
      </c>
      <c r="K304">
        <f>IFERROR(INDEX(E304:J304,MATCH(YEAR(A304)+1,$E$1:$J$1,0)),"")</f>
        <v/>
      </c>
      <c r="L304">
        <f>IFERROR(D304/K304,"")</f>
        <v/>
      </c>
    </row>
    <row r="305">
      <c r="C305">
        <f>IFERROR(VLOOKUP(B305,'Subsector Map'!$A:$B,2,0),"")</f>
        <v/>
      </c>
      <c r="K305">
        <f>IFERROR(INDEX(E305:J305,MATCH(YEAR(A305)+1,$E$1:$J$1,0)),"")</f>
        <v/>
      </c>
      <c r="L305">
        <f>IFERROR(D305/K305,"")</f>
        <v/>
      </c>
    </row>
    <row r="306">
      <c r="C306">
        <f>IFERROR(VLOOKUP(B306,'Subsector Map'!$A:$B,2,0),"")</f>
        <v/>
      </c>
      <c r="K306">
        <f>IFERROR(INDEX(E306:J306,MATCH(YEAR(A306)+1,$E$1:$J$1,0)),"")</f>
        <v/>
      </c>
      <c r="L306">
        <f>IFERROR(D306/K306,"")</f>
        <v/>
      </c>
    </row>
    <row r="307">
      <c r="C307">
        <f>IFERROR(VLOOKUP(B307,'Subsector Map'!$A:$B,2,0),"")</f>
        <v/>
      </c>
      <c r="K307">
        <f>IFERROR(INDEX(E307:J307,MATCH(YEAR(A307)+1,$E$1:$J$1,0)),"")</f>
        <v/>
      </c>
      <c r="L307">
        <f>IFERROR(D307/K307,"")</f>
        <v/>
      </c>
    </row>
    <row r="308">
      <c r="C308">
        <f>IFERROR(VLOOKUP(B308,'Subsector Map'!$A:$B,2,0),"")</f>
        <v/>
      </c>
      <c r="K308">
        <f>IFERROR(INDEX(E308:J308,MATCH(YEAR(A308)+1,$E$1:$J$1,0)),"")</f>
        <v/>
      </c>
      <c r="L308">
        <f>IFERROR(D308/K308,"")</f>
        <v/>
      </c>
    </row>
    <row r="309">
      <c r="C309">
        <f>IFERROR(VLOOKUP(B309,'Subsector Map'!$A:$B,2,0),"")</f>
        <v/>
      </c>
      <c r="K309">
        <f>IFERROR(INDEX(E309:J309,MATCH(YEAR(A309)+1,$E$1:$J$1,0)),"")</f>
        <v/>
      </c>
      <c r="L309">
        <f>IFERROR(D309/K309,"")</f>
        <v/>
      </c>
    </row>
    <row r="310">
      <c r="C310">
        <f>IFERROR(VLOOKUP(B310,'Subsector Map'!$A:$B,2,0),"")</f>
        <v/>
      </c>
      <c r="K310">
        <f>IFERROR(INDEX(E310:J310,MATCH(YEAR(A310)+1,$E$1:$J$1,0)),"")</f>
        <v/>
      </c>
      <c r="L310">
        <f>IFERROR(D310/K310,"")</f>
        <v/>
      </c>
    </row>
    <row r="311">
      <c r="C311">
        <f>IFERROR(VLOOKUP(B311,'Subsector Map'!$A:$B,2,0),"")</f>
        <v/>
      </c>
      <c r="K311">
        <f>IFERROR(INDEX(E311:J311,MATCH(YEAR(A311)+1,$E$1:$J$1,0)),"")</f>
        <v/>
      </c>
      <c r="L311">
        <f>IFERROR(D311/K311,"")</f>
        <v/>
      </c>
    </row>
    <row r="312">
      <c r="C312">
        <f>IFERROR(VLOOKUP(B312,'Subsector Map'!$A:$B,2,0),"")</f>
        <v/>
      </c>
      <c r="K312">
        <f>IFERROR(INDEX(E312:J312,MATCH(YEAR(A312)+1,$E$1:$J$1,0)),"")</f>
        <v/>
      </c>
      <c r="L312">
        <f>IFERROR(D312/K312,"")</f>
        <v/>
      </c>
    </row>
    <row r="313">
      <c r="C313">
        <f>IFERROR(VLOOKUP(B313,'Subsector Map'!$A:$B,2,0),"")</f>
        <v/>
      </c>
      <c r="K313">
        <f>IFERROR(INDEX(E313:J313,MATCH(YEAR(A313)+1,$E$1:$J$1,0)),"")</f>
        <v/>
      </c>
      <c r="L313">
        <f>IFERROR(D313/K313,"")</f>
        <v/>
      </c>
    </row>
    <row r="314">
      <c r="C314">
        <f>IFERROR(VLOOKUP(B314,'Subsector Map'!$A:$B,2,0),"")</f>
        <v/>
      </c>
      <c r="K314">
        <f>IFERROR(INDEX(E314:J314,MATCH(YEAR(A314)+1,$E$1:$J$1,0)),"")</f>
        <v/>
      </c>
      <c r="L314">
        <f>IFERROR(D314/K314,"")</f>
        <v/>
      </c>
    </row>
    <row r="315">
      <c r="C315">
        <f>IFERROR(VLOOKUP(B315,'Subsector Map'!$A:$B,2,0),"")</f>
        <v/>
      </c>
      <c r="K315">
        <f>IFERROR(INDEX(E315:J315,MATCH(YEAR(A315)+1,$E$1:$J$1,0)),"")</f>
        <v/>
      </c>
      <c r="L315">
        <f>IFERROR(D315/K315,"")</f>
        <v/>
      </c>
    </row>
    <row r="316">
      <c r="C316">
        <f>IFERROR(VLOOKUP(B316,'Subsector Map'!$A:$B,2,0),"")</f>
        <v/>
      </c>
      <c r="K316">
        <f>IFERROR(INDEX(E316:J316,MATCH(YEAR(A316)+1,$E$1:$J$1,0)),"")</f>
        <v/>
      </c>
      <c r="L316">
        <f>IFERROR(D316/K316,"")</f>
        <v/>
      </c>
    </row>
    <row r="317">
      <c r="C317">
        <f>IFERROR(VLOOKUP(B317,'Subsector Map'!$A:$B,2,0),"")</f>
        <v/>
      </c>
      <c r="K317">
        <f>IFERROR(INDEX(E317:J317,MATCH(YEAR(A317)+1,$E$1:$J$1,0)),"")</f>
        <v/>
      </c>
      <c r="L317">
        <f>IFERROR(D317/K317,"")</f>
        <v/>
      </c>
    </row>
    <row r="318">
      <c r="C318">
        <f>IFERROR(VLOOKUP(B318,'Subsector Map'!$A:$B,2,0),"")</f>
        <v/>
      </c>
      <c r="K318">
        <f>IFERROR(INDEX(E318:J318,MATCH(YEAR(A318)+1,$E$1:$J$1,0)),"")</f>
        <v/>
      </c>
      <c r="L318">
        <f>IFERROR(D318/K318,"")</f>
        <v/>
      </c>
    </row>
    <row r="319">
      <c r="C319">
        <f>IFERROR(VLOOKUP(B319,'Subsector Map'!$A:$B,2,0),"")</f>
        <v/>
      </c>
      <c r="K319">
        <f>IFERROR(INDEX(E319:J319,MATCH(YEAR(A319)+1,$E$1:$J$1,0)),"")</f>
        <v/>
      </c>
      <c r="L319">
        <f>IFERROR(D319/K319,"")</f>
        <v/>
      </c>
    </row>
    <row r="320">
      <c r="C320">
        <f>IFERROR(VLOOKUP(B320,'Subsector Map'!$A:$B,2,0),"")</f>
        <v/>
      </c>
      <c r="K320">
        <f>IFERROR(INDEX(E320:J320,MATCH(YEAR(A320)+1,$E$1:$J$1,0)),"")</f>
        <v/>
      </c>
      <c r="L320">
        <f>IFERROR(D320/K320,"")</f>
        <v/>
      </c>
    </row>
    <row r="321">
      <c r="C321">
        <f>IFERROR(VLOOKUP(B321,'Subsector Map'!$A:$B,2,0),"")</f>
        <v/>
      </c>
      <c r="K321">
        <f>IFERROR(INDEX(E321:J321,MATCH(YEAR(A321)+1,$E$1:$J$1,0)),"")</f>
        <v/>
      </c>
      <c r="L321">
        <f>IFERROR(D321/K321,"")</f>
        <v/>
      </c>
    </row>
    <row r="322">
      <c r="C322">
        <f>IFERROR(VLOOKUP(B322,'Subsector Map'!$A:$B,2,0),"")</f>
        <v/>
      </c>
      <c r="K322">
        <f>IFERROR(INDEX(E322:J322,MATCH(YEAR(A322)+1,$E$1:$J$1,0)),"")</f>
        <v/>
      </c>
      <c r="L322">
        <f>IFERROR(D322/K322,"")</f>
        <v/>
      </c>
    </row>
    <row r="323">
      <c r="C323">
        <f>IFERROR(VLOOKUP(B323,'Subsector Map'!$A:$B,2,0),"")</f>
        <v/>
      </c>
      <c r="K323">
        <f>IFERROR(INDEX(E323:J323,MATCH(YEAR(A323)+1,$E$1:$J$1,0)),"")</f>
        <v/>
      </c>
      <c r="L323">
        <f>IFERROR(D323/K323,"")</f>
        <v/>
      </c>
    </row>
    <row r="324">
      <c r="C324">
        <f>IFERROR(VLOOKUP(B324,'Subsector Map'!$A:$B,2,0),"")</f>
        <v/>
      </c>
      <c r="K324">
        <f>IFERROR(INDEX(E324:J324,MATCH(YEAR(A324)+1,$E$1:$J$1,0)),"")</f>
        <v/>
      </c>
      <c r="L324">
        <f>IFERROR(D324/K324,"")</f>
        <v/>
      </c>
    </row>
    <row r="325">
      <c r="C325">
        <f>IFERROR(VLOOKUP(B325,'Subsector Map'!$A:$B,2,0),"")</f>
        <v/>
      </c>
      <c r="K325">
        <f>IFERROR(INDEX(E325:J325,MATCH(YEAR(A325)+1,$E$1:$J$1,0)),"")</f>
        <v/>
      </c>
      <c r="L325">
        <f>IFERROR(D325/K325,"")</f>
        <v/>
      </c>
    </row>
    <row r="326">
      <c r="C326">
        <f>IFERROR(VLOOKUP(B326,'Subsector Map'!$A:$B,2,0),"")</f>
        <v/>
      </c>
      <c r="K326">
        <f>IFERROR(INDEX(E326:J326,MATCH(YEAR(A326)+1,$E$1:$J$1,0)),"")</f>
        <v/>
      </c>
      <c r="L326">
        <f>IFERROR(D326/K326,"")</f>
        <v/>
      </c>
    </row>
    <row r="327">
      <c r="C327">
        <f>IFERROR(VLOOKUP(B327,'Subsector Map'!$A:$B,2,0),"")</f>
        <v/>
      </c>
      <c r="K327">
        <f>IFERROR(INDEX(E327:J327,MATCH(YEAR(A327)+1,$E$1:$J$1,0)),"")</f>
        <v/>
      </c>
      <c r="L327">
        <f>IFERROR(D327/K327,"")</f>
        <v/>
      </c>
    </row>
    <row r="328">
      <c r="C328">
        <f>IFERROR(VLOOKUP(B328,'Subsector Map'!$A:$B,2,0),"")</f>
        <v/>
      </c>
      <c r="K328">
        <f>IFERROR(INDEX(E328:J328,MATCH(YEAR(A328)+1,$E$1:$J$1,0)),"")</f>
        <v/>
      </c>
      <c r="L328">
        <f>IFERROR(D328/K328,"")</f>
        <v/>
      </c>
    </row>
    <row r="329">
      <c r="C329">
        <f>IFERROR(VLOOKUP(B329,'Subsector Map'!$A:$B,2,0),"")</f>
        <v/>
      </c>
      <c r="K329">
        <f>IFERROR(INDEX(E329:J329,MATCH(YEAR(A329)+1,$E$1:$J$1,0)),"")</f>
        <v/>
      </c>
      <c r="L329">
        <f>IFERROR(D329/K329,"")</f>
        <v/>
      </c>
    </row>
    <row r="330">
      <c r="C330">
        <f>IFERROR(VLOOKUP(B330,'Subsector Map'!$A:$B,2,0),"")</f>
        <v/>
      </c>
      <c r="K330">
        <f>IFERROR(INDEX(E330:J330,MATCH(YEAR(A330)+1,$E$1:$J$1,0)),"")</f>
        <v/>
      </c>
      <c r="L330">
        <f>IFERROR(D330/K330,"")</f>
        <v/>
      </c>
    </row>
    <row r="331">
      <c r="C331">
        <f>IFERROR(VLOOKUP(B331,'Subsector Map'!$A:$B,2,0),"")</f>
        <v/>
      </c>
      <c r="K331">
        <f>IFERROR(INDEX(E331:J331,MATCH(YEAR(A331)+1,$E$1:$J$1,0)),"")</f>
        <v/>
      </c>
      <c r="L331">
        <f>IFERROR(D331/K331,"")</f>
        <v/>
      </c>
    </row>
    <row r="332">
      <c r="C332">
        <f>IFERROR(VLOOKUP(B332,'Subsector Map'!$A:$B,2,0),"")</f>
        <v/>
      </c>
      <c r="K332">
        <f>IFERROR(INDEX(E332:J332,MATCH(YEAR(A332)+1,$E$1:$J$1,0)),"")</f>
        <v/>
      </c>
      <c r="L332">
        <f>IFERROR(D332/K332,"")</f>
        <v/>
      </c>
    </row>
    <row r="333">
      <c r="C333">
        <f>IFERROR(VLOOKUP(B333,'Subsector Map'!$A:$B,2,0),"")</f>
        <v/>
      </c>
      <c r="K333">
        <f>IFERROR(INDEX(E333:J333,MATCH(YEAR(A333)+1,$E$1:$J$1,0)),"")</f>
        <v/>
      </c>
      <c r="L333">
        <f>IFERROR(D333/K333,"")</f>
        <v/>
      </c>
    </row>
    <row r="334">
      <c r="C334">
        <f>IFERROR(VLOOKUP(B334,'Subsector Map'!$A:$B,2,0),"")</f>
        <v/>
      </c>
      <c r="K334">
        <f>IFERROR(INDEX(E334:J334,MATCH(YEAR(A334)+1,$E$1:$J$1,0)),"")</f>
        <v/>
      </c>
      <c r="L334">
        <f>IFERROR(D334/K334,"")</f>
        <v/>
      </c>
    </row>
    <row r="335">
      <c r="C335">
        <f>IFERROR(VLOOKUP(B335,'Subsector Map'!$A:$B,2,0),"")</f>
        <v/>
      </c>
      <c r="K335">
        <f>IFERROR(INDEX(E335:J335,MATCH(YEAR(A335)+1,$E$1:$J$1,0)),"")</f>
        <v/>
      </c>
      <c r="L335">
        <f>IFERROR(D335/K335,"")</f>
        <v/>
      </c>
    </row>
    <row r="336">
      <c r="C336">
        <f>IFERROR(VLOOKUP(B336,'Subsector Map'!$A:$B,2,0),"")</f>
        <v/>
      </c>
      <c r="K336">
        <f>IFERROR(INDEX(E336:J336,MATCH(YEAR(A336)+1,$E$1:$J$1,0)),"")</f>
        <v/>
      </c>
      <c r="L336">
        <f>IFERROR(D336/K336,"")</f>
        <v/>
      </c>
    </row>
    <row r="337">
      <c r="C337">
        <f>IFERROR(VLOOKUP(B337,'Subsector Map'!$A:$B,2,0),"")</f>
        <v/>
      </c>
      <c r="K337">
        <f>IFERROR(INDEX(E337:J337,MATCH(YEAR(A337)+1,$E$1:$J$1,0)),"")</f>
        <v/>
      </c>
      <c r="L337">
        <f>IFERROR(D337/K337,"")</f>
        <v/>
      </c>
    </row>
    <row r="338">
      <c r="C338">
        <f>IFERROR(VLOOKUP(B338,'Subsector Map'!$A:$B,2,0),"")</f>
        <v/>
      </c>
      <c r="K338">
        <f>IFERROR(INDEX(E338:J338,MATCH(YEAR(A338)+1,$E$1:$J$1,0)),"")</f>
        <v/>
      </c>
      <c r="L338">
        <f>IFERROR(D338/K338,"")</f>
        <v/>
      </c>
    </row>
    <row r="339">
      <c r="C339">
        <f>IFERROR(VLOOKUP(B339,'Subsector Map'!$A:$B,2,0),"")</f>
        <v/>
      </c>
      <c r="K339">
        <f>IFERROR(INDEX(E339:J339,MATCH(YEAR(A339)+1,$E$1:$J$1,0)),"")</f>
        <v/>
      </c>
      <c r="L339">
        <f>IFERROR(D339/K339,"")</f>
        <v/>
      </c>
    </row>
    <row r="340">
      <c r="C340">
        <f>IFERROR(VLOOKUP(B340,'Subsector Map'!$A:$B,2,0),"")</f>
        <v/>
      </c>
      <c r="K340">
        <f>IFERROR(INDEX(E340:J340,MATCH(YEAR(A340)+1,$E$1:$J$1,0)),"")</f>
        <v/>
      </c>
      <c r="L340">
        <f>IFERROR(D340/K340,"")</f>
        <v/>
      </c>
    </row>
    <row r="341">
      <c r="C341">
        <f>IFERROR(VLOOKUP(B341,'Subsector Map'!$A:$B,2,0),"")</f>
        <v/>
      </c>
      <c r="K341">
        <f>IFERROR(INDEX(E341:J341,MATCH(YEAR(A341)+1,$E$1:$J$1,0)),"")</f>
        <v/>
      </c>
      <c r="L341">
        <f>IFERROR(D341/K341,"")</f>
        <v/>
      </c>
    </row>
    <row r="342">
      <c r="C342">
        <f>IFERROR(VLOOKUP(B342,'Subsector Map'!$A:$B,2,0),"")</f>
        <v/>
      </c>
      <c r="K342">
        <f>IFERROR(INDEX(E342:J342,MATCH(YEAR(A342)+1,$E$1:$J$1,0)),"")</f>
        <v/>
      </c>
      <c r="L342">
        <f>IFERROR(D342/K342,"")</f>
        <v/>
      </c>
    </row>
    <row r="343">
      <c r="C343">
        <f>IFERROR(VLOOKUP(B343,'Subsector Map'!$A:$B,2,0),"")</f>
        <v/>
      </c>
      <c r="K343">
        <f>IFERROR(INDEX(E343:J343,MATCH(YEAR(A343)+1,$E$1:$J$1,0)),"")</f>
        <v/>
      </c>
      <c r="L343">
        <f>IFERROR(D343/K343,"")</f>
        <v/>
      </c>
    </row>
    <row r="344">
      <c r="C344">
        <f>IFERROR(VLOOKUP(B344,'Subsector Map'!$A:$B,2,0),"")</f>
        <v/>
      </c>
      <c r="K344">
        <f>IFERROR(INDEX(E344:J344,MATCH(YEAR(A344)+1,$E$1:$J$1,0)),"")</f>
        <v/>
      </c>
      <c r="L344">
        <f>IFERROR(D344/K344,"")</f>
        <v/>
      </c>
    </row>
    <row r="345">
      <c r="C345">
        <f>IFERROR(VLOOKUP(B345,'Subsector Map'!$A:$B,2,0),"")</f>
        <v/>
      </c>
      <c r="K345">
        <f>IFERROR(INDEX(E345:J345,MATCH(YEAR(A345)+1,$E$1:$J$1,0)),"")</f>
        <v/>
      </c>
      <c r="L345">
        <f>IFERROR(D345/K345,"")</f>
        <v/>
      </c>
    </row>
    <row r="346">
      <c r="C346">
        <f>IFERROR(VLOOKUP(B346,'Subsector Map'!$A:$B,2,0),"")</f>
        <v/>
      </c>
      <c r="K346">
        <f>IFERROR(INDEX(E346:J346,MATCH(YEAR(A346)+1,$E$1:$J$1,0)),"")</f>
        <v/>
      </c>
      <c r="L346">
        <f>IFERROR(D346/K346,"")</f>
        <v/>
      </c>
    </row>
    <row r="347">
      <c r="C347">
        <f>IFERROR(VLOOKUP(B347,'Subsector Map'!$A:$B,2,0),"")</f>
        <v/>
      </c>
      <c r="K347">
        <f>IFERROR(INDEX(E347:J347,MATCH(YEAR(A347)+1,$E$1:$J$1,0)),"")</f>
        <v/>
      </c>
      <c r="L347">
        <f>IFERROR(D347/K347,"")</f>
        <v/>
      </c>
    </row>
    <row r="348">
      <c r="C348">
        <f>IFERROR(VLOOKUP(B348,'Subsector Map'!$A:$B,2,0),"")</f>
        <v/>
      </c>
      <c r="K348">
        <f>IFERROR(INDEX(E348:J348,MATCH(YEAR(A348)+1,$E$1:$J$1,0)),"")</f>
        <v/>
      </c>
      <c r="L348">
        <f>IFERROR(D348/K348,"")</f>
        <v/>
      </c>
    </row>
    <row r="349">
      <c r="C349">
        <f>IFERROR(VLOOKUP(B349,'Subsector Map'!$A:$B,2,0),"")</f>
        <v/>
      </c>
      <c r="K349">
        <f>IFERROR(INDEX(E349:J349,MATCH(YEAR(A349)+1,$E$1:$J$1,0)),"")</f>
        <v/>
      </c>
      <c r="L349">
        <f>IFERROR(D349/K349,"")</f>
        <v/>
      </c>
    </row>
    <row r="350">
      <c r="C350">
        <f>IFERROR(VLOOKUP(B350,'Subsector Map'!$A:$B,2,0),"")</f>
        <v/>
      </c>
      <c r="K350">
        <f>IFERROR(INDEX(E350:J350,MATCH(YEAR(A350)+1,$E$1:$J$1,0)),"")</f>
        <v/>
      </c>
      <c r="L350">
        <f>IFERROR(D350/K350,"")</f>
        <v/>
      </c>
    </row>
    <row r="351">
      <c r="C351">
        <f>IFERROR(VLOOKUP(B351,'Subsector Map'!$A:$B,2,0),"")</f>
        <v/>
      </c>
      <c r="K351">
        <f>IFERROR(INDEX(E351:J351,MATCH(YEAR(A351)+1,$E$1:$J$1,0)),"")</f>
        <v/>
      </c>
      <c r="L351">
        <f>IFERROR(D351/K351,"")</f>
        <v/>
      </c>
    </row>
    <row r="352">
      <c r="C352">
        <f>IFERROR(VLOOKUP(B352,'Subsector Map'!$A:$B,2,0),"")</f>
        <v/>
      </c>
      <c r="K352">
        <f>IFERROR(INDEX(E352:J352,MATCH(YEAR(A352)+1,$E$1:$J$1,0)),"")</f>
        <v/>
      </c>
      <c r="L352">
        <f>IFERROR(D352/K352,"")</f>
        <v/>
      </c>
    </row>
    <row r="353">
      <c r="C353">
        <f>IFERROR(VLOOKUP(B353,'Subsector Map'!$A:$B,2,0),"")</f>
        <v/>
      </c>
      <c r="K353">
        <f>IFERROR(INDEX(E353:J353,MATCH(YEAR(A353)+1,$E$1:$J$1,0)),"")</f>
        <v/>
      </c>
      <c r="L353">
        <f>IFERROR(D353/K353,"")</f>
        <v/>
      </c>
    </row>
    <row r="354">
      <c r="C354">
        <f>IFERROR(VLOOKUP(B354,'Subsector Map'!$A:$B,2,0),"")</f>
        <v/>
      </c>
      <c r="K354">
        <f>IFERROR(INDEX(E354:J354,MATCH(YEAR(A354)+1,$E$1:$J$1,0)),"")</f>
        <v/>
      </c>
      <c r="L354">
        <f>IFERROR(D354/K354,"")</f>
        <v/>
      </c>
    </row>
    <row r="355">
      <c r="C355">
        <f>IFERROR(VLOOKUP(B355,'Subsector Map'!$A:$B,2,0),"")</f>
        <v/>
      </c>
      <c r="K355">
        <f>IFERROR(INDEX(E355:J355,MATCH(YEAR(A355)+1,$E$1:$J$1,0)),"")</f>
        <v/>
      </c>
      <c r="L355">
        <f>IFERROR(D355/K355,"")</f>
        <v/>
      </c>
    </row>
    <row r="356">
      <c r="C356">
        <f>IFERROR(VLOOKUP(B356,'Subsector Map'!$A:$B,2,0),"")</f>
        <v/>
      </c>
      <c r="K356">
        <f>IFERROR(INDEX(E356:J356,MATCH(YEAR(A356)+1,$E$1:$J$1,0)),"")</f>
        <v/>
      </c>
      <c r="L356">
        <f>IFERROR(D356/K356,"")</f>
        <v/>
      </c>
    </row>
    <row r="357">
      <c r="C357">
        <f>IFERROR(VLOOKUP(B357,'Subsector Map'!$A:$B,2,0),"")</f>
        <v/>
      </c>
      <c r="K357">
        <f>IFERROR(INDEX(E357:J357,MATCH(YEAR(A357)+1,$E$1:$J$1,0)),"")</f>
        <v/>
      </c>
      <c r="L357">
        <f>IFERROR(D357/K357,"")</f>
        <v/>
      </c>
    </row>
    <row r="358">
      <c r="C358">
        <f>IFERROR(VLOOKUP(B358,'Subsector Map'!$A:$B,2,0),"")</f>
        <v/>
      </c>
      <c r="K358">
        <f>IFERROR(INDEX(E358:J358,MATCH(YEAR(A358)+1,$E$1:$J$1,0)),"")</f>
        <v/>
      </c>
      <c r="L358">
        <f>IFERROR(D358/K358,"")</f>
        <v/>
      </c>
    </row>
    <row r="359">
      <c r="C359">
        <f>IFERROR(VLOOKUP(B359,'Subsector Map'!$A:$B,2,0),"")</f>
        <v/>
      </c>
      <c r="K359">
        <f>IFERROR(INDEX(E359:J359,MATCH(YEAR(A359)+1,$E$1:$J$1,0)),"")</f>
        <v/>
      </c>
      <c r="L359">
        <f>IFERROR(D359/K359,"")</f>
        <v/>
      </c>
    </row>
    <row r="360">
      <c r="C360">
        <f>IFERROR(VLOOKUP(B360,'Subsector Map'!$A:$B,2,0),"")</f>
        <v/>
      </c>
      <c r="K360">
        <f>IFERROR(INDEX(E360:J360,MATCH(YEAR(A360)+1,$E$1:$J$1,0)),"")</f>
        <v/>
      </c>
      <c r="L360">
        <f>IFERROR(D360/K360,"")</f>
        <v/>
      </c>
    </row>
    <row r="361">
      <c r="C361">
        <f>IFERROR(VLOOKUP(B361,'Subsector Map'!$A:$B,2,0),"")</f>
        <v/>
      </c>
      <c r="K361">
        <f>IFERROR(INDEX(E361:J361,MATCH(YEAR(A361)+1,$E$1:$J$1,0)),"")</f>
        <v/>
      </c>
      <c r="L361">
        <f>IFERROR(D361/K361,"")</f>
        <v/>
      </c>
    </row>
    <row r="362">
      <c r="C362">
        <f>IFERROR(VLOOKUP(B362,'Subsector Map'!$A:$B,2,0),"")</f>
        <v/>
      </c>
      <c r="K362">
        <f>IFERROR(INDEX(E362:J362,MATCH(YEAR(A362)+1,$E$1:$J$1,0)),"")</f>
        <v/>
      </c>
      <c r="L362">
        <f>IFERROR(D362/K362,"")</f>
        <v/>
      </c>
    </row>
    <row r="363">
      <c r="C363">
        <f>IFERROR(VLOOKUP(B363,'Subsector Map'!$A:$B,2,0),"")</f>
        <v/>
      </c>
      <c r="K363">
        <f>IFERROR(INDEX(E363:J363,MATCH(YEAR(A363)+1,$E$1:$J$1,0)),"")</f>
        <v/>
      </c>
      <c r="L363">
        <f>IFERROR(D363/K363,"")</f>
        <v/>
      </c>
    </row>
    <row r="364">
      <c r="C364">
        <f>IFERROR(VLOOKUP(B364,'Subsector Map'!$A:$B,2,0),"")</f>
        <v/>
      </c>
      <c r="K364">
        <f>IFERROR(INDEX(E364:J364,MATCH(YEAR(A364)+1,$E$1:$J$1,0)),"")</f>
        <v/>
      </c>
      <c r="L364">
        <f>IFERROR(D364/K364,"")</f>
        <v/>
      </c>
    </row>
    <row r="365">
      <c r="C365">
        <f>IFERROR(VLOOKUP(B365,'Subsector Map'!$A:$B,2,0),"")</f>
        <v/>
      </c>
      <c r="K365">
        <f>IFERROR(INDEX(E365:J365,MATCH(YEAR(A365)+1,$E$1:$J$1,0)),"")</f>
        <v/>
      </c>
      <c r="L365">
        <f>IFERROR(D365/K365,"")</f>
        <v/>
      </c>
    </row>
    <row r="366">
      <c r="C366">
        <f>IFERROR(VLOOKUP(B366,'Subsector Map'!$A:$B,2,0),"")</f>
        <v/>
      </c>
      <c r="K366">
        <f>IFERROR(INDEX(E366:J366,MATCH(YEAR(A366)+1,$E$1:$J$1,0)),"")</f>
        <v/>
      </c>
      <c r="L366">
        <f>IFERROR(D366/K366,"")</f>
        <v/>
      </c>
    </row>
    <row r="367">
      <c r="C367">
        <f>IFERROR(VLOOKUP(B367,'Subsector Map'!$A:$B,2,0),"")</f>
        <v/>
      </c>
      <c r="K367">
        <f>IFERROR(INDEX(E367:J367,MATCH(YEAR(A367)+1,$E$1:$J$1,0)),"")</f>
        <v/>
      </c>
      <c r="L367">
        <f>IFERROR(D367/K367,"")</f>
        <v/>
      </c>
    </row>
    <row r="368">
      <c r="C368">
        <f>IFERROR(VLOOKUP(B368,'Subsector Map'!$A:$B,2,0),"")</f>
        <v/>
      </c>
      <c r="K368">
        <f>IFERROR(INDEX(E368:J368,MATCH(YEAR(A368)+1,$E$1:$J$1,0)),"")</f>
        <v/>
      </c>
      <c r="L368">
        <f>IFERROR(D368/K368,"")</f>
        <v/>
      </c>
    </row>
    <row r="369">
      <c r="C369">
        <f>IFERROR(VLOOKUP(B369,'Subsector Map'!$A:$B,2,0),"")</f>
        <v/>
      </c>
      <c r="K369">
        <f>IFERROR(INDEX(E369:J369,MATCH(YEAR(A369)+1,$E$1:$J$1,0)),"")</f>
        <v/>
      </c>
      <c r="L369">
        <f>IFERROR(D369/K369,"")</f>
        <v/>
      </c>
    </row>
    <row r="370">
      <c r="C370">
        <f>IFERROR(VLOOKUP(B370,'Subsector Map'!$A:$B,2,0),"")</f>
        <v/>
      </c>
      <c r="K370">
        <f>IFERROR(INDEX(E370:J370,MATCH(YEAR(A370)+1,$E$1:$J$1,0)),"")</f>
        <v/>
      </c>
      <c r="L370">
        <f>IFERROR(D370/K370,"")</f>
        <v/>
      </c>
    </row>
    <row r="371">
      <c r="C371">
        <f>IFERROR(VLOOKUP(B371,'Subsector Map'!$A:$B,2,0),"")</f>
        <v/>
      </c>
      <c r="K371">
        <f>IFERROR(INDEX(E371:J371,MATCH(YEAR(A371)+1,$E$1:$J$1,0)),"")</f>
        <v/>
      </c>
      <c r="L371">
        <f>IFERROR(D371/K371,"")</f>
        <v/>
      </c>
    </row>
    <row r="372">
      <c r="C372">
        <f>IFERROR(VLOOKUP(B372,'Subsector Map'!$A:$B,2,0),"")</f>
        <v/>
      </c>
      <c r="K372">
        <f>IFERROR(INDEX(E372:J372,MATCH(YEAR(A372)+1,$E$1:$J$1,0)),"")</f>
        <v/>
      </c>
      <c r="L372">
        <f>IFERROR(D372/K372,"")</f>
        <v/>
      </c>
    </row>
    <row r="373">
      <c r="C373">
        <f>IFERROR(VLOOKUP(B373,'Subsector Map'!$A:$B,2,0),"")</f>
        <v/>
      </c>
      <c r="K373">
        <f>IFERROR(INDEX(E373:J373,MATCH(YEAR(A373)+1,$E$1:$J$1,0)),"")</f>
        <v/>
      </c>
      <c r="L373">
        <f>IFERROR(D373/K373,"")</f>
        <v/>
      </c>
    </row>
    <row r="374">
      <c r="C374">
        <f>IFERROR(VLOOKUP(B374,'Subsector Map'!$A:$B,2,0),"")</f>
        <v/>
      </c>
      <c r="K374">
        <f>IFERROR(INDEX(E374:J374,MATCH(YEAR(A374)+1,$E$1:$J$1,0)),"")</f>
        <v/>
      </c>
      <c r="L374">
        <f>IFERROR(D374/K374,"")</f>
        <v/>
      </c>
    </row>
    <row r="375">
      <c r="C375">
        <f>IFERROR(VLOOKUP(B375,'Subsector Map'!$A:$B,2,0),"")</f>
        <v/>
      </c>
      <c r="K375">
        <f>IFERROR(INDEX(E375:J375,MATCH(YEAR(A375)+1,$E$1:$J$1,0)),"")</f>
        <v/>
      </c>
      <c r="L375">
        <f>IFERROR(D375/K375,"")</f>
        <v/>
      </c>
    </row>
    <row r="376">
      <c r="C376">
        <f>IFERROR(VLOOKUP(B376,'Subsector Map'!$A:$B,2,0),"")</f>
        <v/>
      </c>
      <c r="K376">
        <f>IFERROR(INDEX(E376:J376,MATCH(YEAR(A376)+1,$E$1:$J$1,0)),"")</f>
        <v/>
      </c>
      <c r="L376">
        <f>IFERROR(D376/K376,"")</f>
        <v/>
      </c>
    </row>
    <row r="377">
      <c r="C377">
        <f>IFERROR(VLOOKUP(B377,'Subsector Map'!$A:$B,2,0),"")</f>
        <v/>
      </c>
      <c r="K377">
        <f>IFERROR(INDEX(E377:J377,MATCH(YEAR(A377)+1,$E$1:$J$1,0)),"")</f>
        <v/>
      </c>
      <c r="L377">
        <f>IFERROR(D377/K377,"")</f>
        <v/>
      </c>
    </row>
    <row r="378">
      <c r="C378">
        <f>IFERROR(VLOOKUP(B378,'Subsector Map'!$A:$B,2,0),"")</f>
        <v/>
      </c>
      <c r="K378">
        <f>IFERROR(INDEX(E378:J378,MATCH(YEAR(A378)+1,$E$1:$J$1,0)),"")</f>
        <v/>
      </c>
      <c r="L378">
        <f>IFERROR(D378/K378,"")</f>
        <v/>
      </c>
    </row>
    <row r="379">
      <c r="C379">
        <f>IFERROR(VLOOKUP(B379,'Subsector Map'!$A:$B,2,0),"")</f>
        <v/>
      </c>
      <c r="K379">
        <f>IFERROR(INDEX(E379:J379,MATCH(YEAR(A379)+1,$E$1:$J$1,0)),"")</f>
        <v/>
      </c>
      <c r="L379">
        <f>IFERROR(D379/K379,"")</f>
        <v/>
      </c>
    </row>
    <row r="380">
      <c r="C380">
        <f>IFERROR(VLOOKUP(B380,'Subsector Map'!$A:$B,2,0),"")</f>
        <v/>
      </c>
      <c r="K380">
        <f>IFERROR(INDEX(E380:J380,MATCH(YEAR(A380)+1,$E$1:$J$1,0)),"")</f>
        <v/>
      </c>
      <c r="L380">
        <f>IFERROR(D380/K380,"")</f>
        <v/>
      </c>
    </row>
    <row r="381">
      <c r="C381">
        <f>IFERROR(VLOOKUP(B381,'Subsector Map'!$A:$B,2,0),"")</f>
        <v/>
      </c>
      <c r="K381">
        <f>IFERROR(INDEX(E381:J381,MATCH(YEAR(A381)+1,$E$1:$J$1,0)),"")</f>
        <v/>
      </c>
      <c r="L381">
        <f>IFERROR(D381/K381,"")</f>
        <v/>
      </c>
    </row>
    <row r="382">
      <c r="C382">
        <f>IFERROR(VLOOKUP(B382,'Subsector Map'!$A:$B,2,0),"")</f>
        <v/>
      </c>
      <c r="K382">
        <f>IFERROR(INDEX(E382:J382,MATCH(YEAR(A382)+1,$E$1:$J$1,0)),"")</f>
        <v/>
      </c>
      <c r="L382">
        <f>IFERROR(D382/K382,"")</f>
        <v/>
      </c>
    </row>
    <row r="383">
      <c r="C383">
        <f>IFERROR(VLOOKUP(B383,'Subsector Map'!$A:$B,2,0),"")</f>
        <v/>
      </c>
      <c r="K383">
        <f>IFERROR(INDEX(E383:J383,MATCH(YEAR(A383)+1,$E$1:$J$1,0)),"")</f>
        <v/>
      </c>
      <c r="L383">
        <f>IFERROR(D383/K383,"")</f>
        <v/>
      </c>
    </row>
    <row r="384">
      <c r="C384">
        <f>IFERROR(VLOOKUP(B384,'Subsector Map'!$A:$B,2,0),"")</f>
        <v/>
      </c>
      <c r="K384">
        <f>IFERROR(INDEX(E384:J384,MATCH(YEAR(A384)+1,$E$1:$J$1,0)),"")</f>
        <v/>
      </c>
      <c r="L384">
        <f>IFERROR(D384/K384,"")</f>
        <v/>
      </c>
    </row>
    <row r="385">
      <c r="C385">
        <f>IFERROR(VLOOKUP(B385,'Subsector Map'!$A:$B,2,0),"")</f>
        <v/>
      </c>
      <c r="K385">
        <f>IFERROR(INDEX(E385:J385,MATCH(YEAR(A385)+1,$E$1:$J$1,0)),"")</f>
        <v/>
      </c>
      <c r="L385">
        <f>IFERROR(D385/K385,"")</f>
        <v/>
      </c>
    </row>
    <row r="386">
      <c r="C386">
        <f>IFERROR(VLOOKUP(B386,'Subsector Map'!$A:$B,2,0),"")</f>
        <v/>
      </c>
      <c r="K386">
        <f>IFERROR(INDEX(E386:J386,MATCH(YEAR(A386)+1,$E$1:$J$1,0)),"")</f>
        <v/>
      </c>
      <c r="L386">
        <f>IFERROR(D386/K386,"")</f>
        <v/>
      </c>
    </row>
    <row r="387">
      <c r="C387">
        <f>IFERROR(VLOOKUP(B387,'Subsector Map'!$A:$B,2,0),"")</f>
        <v/>
      </c>
      <c r="K387">
        <f>IFERROR(INDEX(E387:J387,MATCH(YEAR(A387)+1,$E$1:$J$1,0)),"")</f>
        <v/>
      </c>
      <c r="L387">
        <f>IFERROR(D387/K387,"")</f>
        <v/>
      </c>
    </row>
    <row r="388">
      <c r="C388">
        <f>IFERROR(VLOOKUP(B388,'Subsector Map'!$A:$B,2,0),"")</f>
        <v/>
      </c>
      <c r="K388">
        <f>IFERROR(INDEX(E388:J388,MATCH(YEAR(A388)+1,$E$1:$J$1,0)),"")</f>
        <v/>
      </c>
      <c r="L388">
        <f>IFERROR(D388/K388,"")</f>
        <v/>
      </c>
    </row>
    <row r="389">
      <c r="C389">
        <f>IFERROR(VLOOKUP(B389,'Subsector Map'!$A:$B,2,0),"")</f>
        <v/>
      </c>
      <c r="K389">
        <f>IFERROR(INDEX(E389:J389,MATCH(YEAR(A389)+1,$E$1:$J$1,0)),"")</f>
        <v/>
      </c>
      <c r="L389">
        <f>IFERROR(D389/K389,"")</f>
        <v/>
      </c>
    </row>
    <row r="390">
      <c r="C390">
        <f>IFERROR(VLOOKUP(B390,'Subsector Map'!$A:$B,2,0),"")</f>
        <v/>
      </c>
      <c r="K390">
        <f>IFERROR(INDEX(E390:J390,MATCH(YEAR(A390)+1,$E$1:$J$1,0)),"")</f>
        <v/>
      </c>
      <c r="L390">
        <f>IFERROR(D390/K390,"")</f>
        <v/>
      </c>
    </row>
    <row r="391">
      <c r="C391">
        <f>IFERROR(VLOOKUP(B391,'Subsector Map'!$A:$B,2,0),"")</f>
        <v/>
      </c>
      <c r="K391">
        <f>IFERROR(INDEX(E391:J391,MATCH(YEAR(A391)+1,$E$1:$J$1,0)),"")</f>
        <v/>
      </c>
      <c r="L391">
        <f>IFERROR(D391/K391,"")</f>
        <v/>
      </c>
    </row>
    <row r="392">
      <c r="C392">
        <f>IFERROR(VLOOKUP(B392,'Subsector Map'!$A:$B,2,0),"")</f>
        <v/>
      </c>
      <c r="K392">
        <f>IFERROR(INDEX(E392:J392,MATCH(YEAR(A392)+1,$E$1:$J$1,0)),"")</f>
        <v/>
      </c>
      <c r="L392">
        <f>IFERROR(D392/K392,"")</f>
        <v/>
      </c>
    </row>
    <row r="393">
      <c r="C393">
        <f>IFERROR(VLOOKUP(B393,'Subsector Map'!$A:$B,2,0),"")</f>
        <v/>
      </c>
      <c r="K393">
        <f>IFERROR(INDEX(E393:J393,MATCH(YEAR(A393)+1,$E$1:$J$1,0)),"")</f>
        <v/>
      </c>
      <c r="L393">
        <f>IFERROR(D393/K393,"")</f>
        <v/>
      </c>
    </row>
    <row r="394">
      <c r="C394">
        <f>IFERROR(VLOOKUP(B394,'Subsector Map'!$A:$B,2,0),"")</f>
        <v/>
      </c>
      <c r="K394">
        <f>IFERROR(INDEX(E394:J394,MATCH(YEAR(A394)+1,$E$1:$J$1,0)),"")</f>
        <v/>
      </c>
      <c r="L394">
        <f>IFERROR(D394/K394,"")</f>
        <v/>
      </c>
    </row>
    <row r="395">
      <c r="C395">
        <f>IFERROR(VLOOKUP(B395,'Subsector Map'!$A:$B,2,0),"")</f>
        <v/>
      </c>
      <c r="K395">
        <f>IFERROR(INDEX(E395:J395,MATCH(YEAR(A395)+1,$E$1:$J$1,0)),"")</f>
        <v/>
      </c>
      <c r="L395">
        <f>IFERROR(D395/K395,"")</f>
        <v/>
      </c>
    </row>
    <row r="396">
      <c r="C396">
        <f>IFERROR(VLOOKUP(B396,'Subsector Map'!$A:$B,2,0),"")</f>
        <v/>
      </c>
      <c r="K396">
        <f>IFERROR(INDEX(E396:J396,MATCH(YEAR(A396)+1,$E$1:$J$1,0)),"")</f>
        <v/>
      </c>
      <c r="L396">
        <f>IFERROR(D396/K396,"")</f>
        <v/>
      </c>
    </row>
    <row r="397">
      <c r="C397">
        <f>IFERROR(VLOOKUP(B397,'Subsector Map'!$A:$B,2,0),"")</f>
        <v/>
      </c>
      <c r="K397">
        <f>IFERROR(INDEX(E397:J397,MATCH(YEAR(A397)+1,$E$1:$J$1,0)),"")</f>
        <v/>
      </c>
      <c r="L397">
        <f>IFERROR(D397/K397,"")</f>
        <v/>
      </c>
    </row>
    <row r="398">
      <c r="C398">
        <f>IFERROR(VLOOKUP(B398,'Subsector Map'!$A:$B,2,0),"")</f>
        <v/>
      </c>
      <c r="K398">
        <f>IFERROR(INDEX(E398:J398,MATCH(YEAR(A398)+1,$E$1:$J$1,0)),"")</f>
        <v/>
      </c>
      <c r="L398">
        <f>IFERROR(D398/K398,"")</f>
        <v/>
      </c>
    </row>
    <row r="399">
      <c r="C399">
        <f>IFERROR(VLOOKUP(B399,'Subsector Map'!$A:$B,2,0),"")</f>
        <v/>
      </c>
      <c r="K399">
        <f>IFERROR(INDEX(E399:J399,MATCH(YEAR(A399)+1,$E$1:$J$1,0)),"")</f>
        <v/>
      </c>
      <c r="L399">
        <f>IFERROR(D399/K399,"")</f>
        <v/>
      </c>
    </row>
    <row r="400">
      <c r="C400">
        <f>IFERROR(VLOOKUP(B400,'Subsector Map'!$A:$B,2,0),"")</f>
        <v/>
      </c>
      <c r="K400">
        <f>IFERROR(INDEX(E400:J400,MATCH(YEAR(A400)+1,$E$1:$J$1,0)),"")</f>
        <v/>
      </c>
      <c r="L400">
        <f>IFERROR(D400/K400,"")</f>
        <v/>
      </c>
    </row>
    <row r="401">
      <c r="C401">
        <f>IFERROR(VLOOKUP(B401,'Subsector Map'!$A:$B,2,0),"")</f>
        <v/>
      </c>
      <c r="K401">
        <f>IFERROR(INDEX(E401:J401,MATCH(YEAR(A401)+1,$E$1:$J$1,0)),"")</f>
        <v/>
      </c>
      <c r="L401">
        <f>IFERROR(D401/K401,"")</f>
        <v/>
      </c>
    </row>
    <row r="402">
      <c r="C402">
        <f>IFERROR(VLOOKUP(B402,'Subsector Map'!$A:$B,2,0),"")</f>
        <v/>
      </c>
      <c r="K402">
        <f>IFERROR(INDEX(E402:J402,MATCH(YEAR(A402)+1,$E$1:$J$1,0)),"")</f>
        <v/>
      </c>
      <c r="L402">
        <f>IFERROR(D402/K402,"")</f>
        <v/>
      </c>
    </row>
    <row r="403">
      <c r="C403">
        <f>IFERROR(VLOOKUP(B403,'Subsector Map'!$A:$B,2,0),"")</f>
        <v/>
      </c>
      <c r="K403">
        <f>IFERROR(INDEX(E403:J403,MATCH(YEAR(A403)+1,$E$1:$J$1,0)),"")</f>
        <v/>
      </c>
      <c r="L403">
        <f>IFERROR(D403/K403,"")</f>
        <v/>
      </c>
    </row>
    <row r="404">
      <c r="C404">
        <f>IFERROR(VLOOKUP(B404,'Subsector Map'!$A:$B,2,0),"")</f>
        <v/>
      </c>
      <c r="K404">
        <f>IFERROR(INDEX(E404:J404,MATCH(YEAR(A404)+1,$E$1:$J$1,0)),"")</f>
        <v/>
      </c>
      <c r="L404">
        <f>IFERROR(D404/K404,"")</f>
        <v/>
      </c>
    </row>
    <row r="405">
      <c r="C405">
        <f>IFERROR(VLOOKUP(B405,'Subsector Map'!$A:$B,2,0),"")</f>
        <v/>
      </c>
      <c r="K405">
        <f>IFERROR(INDEX(E405:J405,MATCH(YEAR(A405)+1,$E$1:$J$1,0)),"")</f>
        <v/>
      </c>
      <c r="L405">
        <f>IFERROR(D405/K405,"")</f>
        <v/>
      </c>
    </row>
    <row r="406">
      <c r="C406">
        <f>IFERROR(VLOOKUP(B406,'Subsector Map'!$A:$B,2,0),"")</f>
        <v/>
      </c>
      <c r="K406">
        <f>IFERROR(INDEX(E406:J406,MATCH(YEAR(A406)+1,$E$1:$J$1,0)),"")</f>
        <v/>
      </c>
      <c r="L406">
        <f>IFERROR(D406/K406,"")</f>
        <v/>
      </c>
    </row>
    <row r="407">
      <c r="C407">
        <f>IFERROR(VLOOKUP(B407,'Subsector Map'!$A:$B,2,0),"")</f>
        <v/>
      </c>
      <c r="K407">
        <f>IFERROR(INDEX(E407:J407,MATCH(YEAR(A407)+1,$E$1:$J$1,0)),"")</f>
        <v/>
      </c>
      <c r="L407">
        <f>IFERROR(D407/K407,"")</f>
        <v/>
      </c>
    </row>
    <row r="408">
      <c r="C408">
        <f>IFERROR(VLOOKUP(B408,'Subsector Map'!$A:$B,2,0),"")</f>
        <v/>
      </c>
      <c r="K408">
        <f>IFERROR(INDEX(E408:J408,MATCH(YEAR(A408)+1,$E$1:$J$1,0)),"")</f>
        <v/>
      </c>
      <c r="L408">
        <f>IFERROR(D408/K408,"")</f>
        <v/>
      </c>
    </row>
    <row r="409">
      <c r="C409">
        <f>IFERROR(VLOOKUP(B409,'Subsector Map'!$A:$B,2,0),"")</f>
        <v/>
      </c>
      <c r="K409">
        <f>IFERROR(INDEX(E409:J409,MATCH(YEAR(A409)+1,$E$1:$J$1,0)),"")</f>
        <v/>
      </c>
      <c r="L409">
        <f>IFERROR(D409/K409,"")</f>
        <v/>
      </c>
    </row>
    <row r="410">
      <c r="C410">
        <f>IFERROR(VLOOKUP(B410,'Subsector Map'!$A:$B,2,0),"")</f>
        <v/>
      </c>
      <c r="K410">
        <f>IFERROR(INDEX(E410:J410,MATCH(YEAR(A410)+1,$E$1:$J$1,0)),"")</f>
        <v/>
      </c>
      <c r="L410">
        <f>IFERROR(D410/K410,"")</f>
        <v/>
      </c>
    </row>
    <row r="411">
      <c r="C411">
        <f>IFERROR(VLOOKUP(B411,'Subsector Map'!$A:$B,2,0),"")</f>
        <v/>
      </c>
      <c r="K411">
        <f>IFERROR(INDEX(E411:J411,MATCH(YEAR(A411)+1,$E$1:$J$1,0)),"")</f>
        <v/>
      </c>
      <c r="L411">
        <f>IFERROR(D411/K411,"")</f>
        <v/>
      </c>
    </row>
    <row r="412">
      <c r="C412">
        <f>IFERROR(VLOOKUP(B412,'Subsector Map'!$A:$B,2,0),"")</f>
        <v/>
      </c>
      <c r="K412">
        <f>IFERROR(INDEX(E412:J412,MATCH(YEAR(A412)+1,$E$1:$J$1,0)),"")</f>
        <v/>
      </c>
      <c r="L412">
        <f>IFERROR(D412/K412,"")</f>
        <v/>
      </c>
    </row>
    <row r="413">
      <c r="C413">
        <f>IFERROR(VLOOKUP(B413,'Subsector Map'!$A:$B,2,0),"")</f>
        <v/>
      </c>
      <c r="K413">
        <f>IFERROR(INDEX(E413:J413,MATCH(YEAR(A413)+1,$E$1:$J$1,0)),"")</f>
        <v/>
      </c>
      <c r="L413">
        <f>IFERROR(D413/K413,"")</f>
        <v/>
      </c>
    </row>
    <row r="414">
      <c r="C414">
        <f>IFERROR(VLOOKUP(B414,'Subsector Map'!$A:$B,2,0),"")</f>
        <v/>
      </c>
      <c r="K414">
        <f>IFERROR(INDEX(E414:J414,MATCH(YEAR(A414)+1,$E$1:$J$1,0)),"")</f>
        <v/>
      </c>
      <c r="L414">
        <f>IFERROR(D414/K414,"")</f>
        <v/>
      </c>
    </row>
    <row r="415">
      <c r="C415">
        <f>IFERROR(VLOOKUP(B415,'Subsector Map'!$A:$B,2,0),"")</f>
        <v/>
      </c>
      <c r="K415">
        <f>IFERROR(INDEX(E415:J415,MATCH(YEAR(A415)+1,$E$1:$J$1,0)),"")</f>
        <v/>
      </c>
      <c r="L415">
        <f>IFERROR(D415/K415,"")</f>
        <v/>
      </c>
    </row>
    <row r="416">
      <c r="C416">
        <f>IFERROR(VLOOKUP(B416,'Subsector Map'!$A:$B,2,0),"")</f>
        <v/>
      </c>
      <c r="K416">
        <f>IFERROR(INDEX(E416:J416,MATCH(YEAR(A416)+1,$E$1:$J$1,0)),"")</f>
        <v/>
      </c>
      <c r="L416">
        <f>IFERROR(D416/K416,"")</f>
        <v/>
      </c>
    </row>
    <row r="417">
      <c r="C417">
        <f>IFERROR(VLOOKUP(B417,'Subsector Map'!$A:$B,2,0),"")</f>
        <v/>
      </c>
      <c r="K417">
        <f>IFERROR(INDEX(E417:J417,MATCH(YEAR(A417)+1,$E$1:$J$1,0)),"")</f>
        <v/>
      </c>
      <c r="L417">
        <f>IFERROR(D417/K417,"")</f>
        <v/>
      </c>
    </row>
    <row r="418">
      <c r="C418">
        <f>IFERROR(VLOOKUP(B418,'Subsector Map'!$A:$B,2,0),"")</f>
        <v/>
      </c>
      <c r="K418">
        <f>IFERROR(INDEX(E418:J418,MATCH(YEAR(A418)+1,$E$1:$J$1,0)),"")</f>
        <v/>
      </c>
      <c r="L418">
        <f>IFERROR(D418/K418,"")</f>
        <v/>
      </c>
    </row>
    <row r="419">
      <c r="C419">
        <f>IFERROR(VLOOKUP(B419,'Subsector Map'!$A:$B,2,0),"")</f>
        <v/>
      </c>
      <c r="K419">
        <f>IFERROR(INDEX(E419:J419,MATCH(YEAR(A419)+1,$E$1:$J$1,0)),"")</f>
        <v/>
      </c>
      <c r="L419">
        <f>IFERROR(D419/K419,"")</f>
        <v/>
      </c>
    </row>
    <row r="420">
      <c r="C420">
        <f>IFERROR(VLOOKUP(B420,'Subsector Map'!$A:$B,2,0),"")</f>
        <v/>
      </c>
      <c r="K420">
        <f>IFERROR(INDEX(E420:J420,MATCH(YEAR(A420)+1,$E$1:$J$1,0)),"")</f>
        <v/>
      </c>
      <c r="L420">
        <f>IFERROR(D420/K420,"")</f>
        <v/>
      </c>
    </row>
    <row r="421">
      <c r="C421">
        <f>IFERROR(VLOOKUP(B421,'Subsector Map'!$A:$B,2,0),"")</f>
        <v/>
      </c>
      <c r="K421">
        <f>IFERROR(INDEX(E421:J421,MATCH(YEAR(A421)+1,$E$1:$J$1,0)),"")</f>
        <v/>
      </c>
      <c r="L421">
        <f>IFERROR(D421/K421,"")</f>
        <v/>
      </c>
    </row>
    <row r="422">
      <c r="C422">
        <f>IFERROR(VLOOKUP(B422,'Subsector Map'!$A:$B,2,0),"")</f>
        <v/>
      </c>
      <c r="K422">
        <f>IFERROR(INDEX(E422:J422,MATCH(YEAR(A422)+1,$E$1:$J$1,0)),"")</f>
        <v/>
      </c>
      <c r="L422">
        <f>IFERROR(D422/K422,"")</f>
        <v/>
      </c>
    </row>
    <row r="423">
      <c r="C423">
        <f>IFERROR(VLOOKUP(B423,'Subsector Map'!$A:$B,2,0),"")</f>
        <v/>
      </c>
      <c r="K423">
        <f>IFERROR(INDEX(E423:J423,MATCH(YEAR(A423)+1,$E$1:$J$1,0)),"")</f>
        <v/>
      </c>
      <c r="L423">
        <f>IFERROR(D423/K423,"")</f>
        <v/>
      </c>
    </row>
    <row r="424">
      <c r="C424">
        <f>IFERROR(VLOOKUP(B424,'Subsector Map'!$A:$B,2,0),"")</f>
        <v/>
      </c>
      <c r="K424">
        <f>IFERROR(INDEX(E424:J424,MATCH(YEAR(A424)+1,$E$1:$J$1,0)),"")</f>
        <v/>
      </c>
      <c r="L424">
        <f>IFERROR(D424/K424,"")</f>
        <v/>
      </c>
    </row>
    <row r="425">
      <c r="C425">
        <f>IFERROR(VLOOKUP(B425,'Subsector Map'!$A:$B,2,0),"")</f>
        <v/>
      </c>
      <c r="K425">
        <f>IFERROR(INDEX(E425:J425,MATCH(YEAR(A425)+1,$E$1:$J$1,0)),"")</f>
        <v/>
      </c>
      <c r="L425">
        <f>IFERROR(D425/K425,"")</f>
        <v/>
      </c>
    </row>
    <row r="426">
      <c r="C426">
        <f>IFERROR(VLOOKUP(B426,'Subsector Map'!$A:$B,2,0),"")</f>
        <v/>
      </c>
      <c r="K426">
        <f>IFERROR(INDEX(E426:J426,MATCH(YEAR(A426)+1,$E$1:$J$1,0)),"")</f>
        <v/>
      </c>
      <c r="L426">
        <f>IFERROR(D426/K426,"")</f>
        <v/>
      </c>
    </row>
    <row r="427">
      <c r="C427">
        <f>IFERROR(VLOOKUP(B427,'Subsector Map'!$A:$B,2,0),"")</f>
        <v/>
      </c>
      <c r="K427">
        <f>IFERROR(INDEX(E427:J427,MATCH(YEAR(A427)+1,$E$1:$J$1,0)),"")</f>
        <v/>
      </c>
      <c r="L427">
        <f>IFERROR(D427/K427,"")</f>
        <v/>
      </c>
    </row>
    <row r="428">
      <c r="C428">
        <f>IFERROR(VLOOKUP(B428,'Subsector Map'!$A:$B,2,0),"")</f>
        <v/>
      </c>
      <c r="K428">
        <f>IFERROR(INDEX(E428:J428,MATCH(YEAR(A428)+1,$E$1:$J$1,0)),"")</f>
        <v/>
      </c>
      <c r="L428">
        <f>IFERROR(D428/K428,"")</f>
        <v/>
      </c>
    </row>
    <row r="429">
      <c r="C429">
        <f>IFERROR(VLOOKUP(B429,'Subsector Map'!$A:$B,2,0),"")</f>
        <v/>
      </c>
      <c r="K429">
        <f>IFERROR(INDEX(E429:J429,MATCH(YEAR(A429)+1,$E$1:$J$1,0)),"")</f>
        <v/>
      </c>
      <c r="L429">
        <f>IFERROR(D429/K429,"")</f>
        <v/>
      </c>
    </row>
    <row r="430">
      <c r="C430">
        <f>IFERROR(VLOOKUP(B430,'Subsector Map'!$A:$B,2,0),"")</f>
        <v/>
      </c>
      <c r="K430">
        <f>IFERROR(INDEX(E430:J430,MATCH(YEAR(A430)+1,$E$1:$J$1,0)),"")</f>
        <v/>
      </c>
      <c r="L430">
        <f>IFERROR(D430/K430,"")</f>
        <v/>
      </c>
    </row>
    <row r="431">
      <c r="C431">
        <f>IFERROR(VLOOKUP(B431,'Subsector Map'!$A:$B,2,0),"")</f>
        <v/>
      </c>
      <c r="K431">
        <f>IFERROR(INDEX(E431:J431,MATCH(YEAR(A431)+1,$E$1:$J$1,0)),"")</f>
        <v/>
      </c>
      <c r="L431">
        <f>IFERROR(D431/K431,"")</f>
        <v/>
      </c>
    </row>
    <row r="432">
      <c r="C432">
        <f>IFERROR(VLOOKUP(B432,'Subsector Map'!$A:$B,2,0),"")</f>
        <v/>
      </c>
      <c r="K432">
        <f>IFERROR(INDEX(E432:J432,MATCH(YEAR(A432)+1,$E$1:$J$1,0)),"")</f>
        <v/>
      </c>
      <c r="L432">
        <f>IFERROR(D432/K432,"")</f>
        <v/>
      </c>
    </row>
    <row r="433">
      <c r="C433">
        <f>IFERROR(VLOOKUP(B433,'Subsector Map'!$A:$B,2,0),"")</f>
        <v/>
      </c>
      <c r="K433">
        <f>IFERROR(INDEX(E433:J433,MATCH(YEAR(A433)+1,$E$1:$J$1,0)),"")</f>
        <v/>
      </c>
      <c r="L433">
        <f>IFERROR(D433/K433,"")</f>
        <v/>
      </c>
    </row>
    <row r="434">
      <c r="C434">
        <f>IFERROR(VLOOKUP(B434,'Subsector Map'!$A:$B,2,0),"")</f>
        <v/>
      </c>
      <c r="K434">
        <f>IFERROR(INDEX(E434:J434,MATCH(YEAR(A434)+1,$E$1:$J$1,0)),"")</f>
        <v/>
      </c>
      <c r="L434">
        <f>IFERROR(D434/K434,"")</f>
        <v/>
      </c>
    </row>
    <row r="435">
      <c r="C435">
        <f>IFERROR(VLOOKUP(B435,'Subsector Map'!$A:$B,2,0),"")</f>
        <v/>
      </c>
      <c r="K435">
        <f>IFERROR(INDEX(E435:J435,MATCH(YEAR(A435)+1,$E$1:$J$1,0)),"")</f>
        <v/>
      </c>
      <c r="L435">
        <f>IFERROR(D435/K435,"")</f>
        <v/>
      </c>
    </row>
    <row r="436">
      <c r="C436">
        <f>IFERROR(VLOOKUP(B436,'Subsector Map'!$A:$B,2,0),"")</f>
        <v/>
      </c>
      <c r="K436">
        <f>IFERROR(INDEX(E436:J436,MATCH(YEAR(A436)+1,$E$1:$J$1,0)),"")</f>
        <v/>
      </c>
      <c r="L436">
        <f>IFERROR(D436/K436,"")</f>
        <v/>
      </c>
    </row>
    <row r="437">
      <c r="C437">
        <f>IFERROR(VLOOKUP(B437,'Subsector Map'!$A:$B,2,0),"")</f>
        <v/>
      </c>
      <c r="K437">
        <f>IFERROR(INDEX(E437:J437,MATCH(YEAR(A437)+1,$E$1:$J$1,0)),"")</f>
        <v/>
      </c>
      <c r="L437">
        <f>IFERROR(D437/K437,"")</f>
        <v/>
      </c>
    </row>
    <row r="438">
      <c r="C438">
        <f>IFERROR(VLOOKUP(B438,'Subsector Map'!$A:$B,2,0),"")</f>
        <v/>
      </c>
      <c r="K438">
        <f>IFERROR(INDEX(E438:J438,MATCH(YEAR(A438)+1,$E$1:$J$1,0)),"")</f>
        <v/>
      </c>
      <c r="L438">
        <f>IFERROR(D438/K438,"")</f>
        <v/>
      </c>
    </row>
    <row r="439">
      <c r="C439">
        <f>IFERROR(VLOOKUP(B439,'Subsector Map'!$A:$B,2,0),"")</f>
        <v/>
      </c>
      <c r="K439">
        <f>IFERROR(INDEX(E439:J439,MATCH(YEAR(A439)+1,$E$1:$J$1,0)),"")</f>
        <v/>
      </c>
      <c r="L439">
        <f>IFERROR(D439/K439,"")</f>
        <v/>
      </c>
    </row>
    <row r="440">
      <c r="C440">
        <f>IFERROR(VLOOKUP(B440,'Subsector Map'!$A:$B,2,0),"")</f>
        <v/>
      </c>
      <c r="K440">
        <f>IFERROR(INDEX(E440:J440,MATCH(YEAR(A440)+1,$E$1:$J$1,0)),"")</f>
        <v/>
      </c>
      <c r="L440">
        <f>IFERROR(D440/K440,"")</f>
        <v/>
      </c>
    </row>
    <row r="441">
      <c r="C441">
        <f>IFERROR(VLOOKUP(B441,'Subsector Map'!$A:$B,2,0),"")</f>
        <v/>
      </c>
      <c r="K441">
        <f>IFERROR(INDEX(E441:J441,MATCH(YEAR(A441)+1,$E$1:$J$1,0)),"")</f>
        <v/>
      </c>
      <c r="L441">
        <f>IFERROR(D441/K441,"")</f>
        <v/>
      </c>
    </row>
    <row r="442">
      <c r="C442">
        <f>IFERROR(VLOOKUP(B442,'Subsector Map'!$A:$B,2,0),"")</f>
        <v/>
      </c>
      <c r="K442">
        <f>IFERROR(INDEX(E442:J442,MATCH(YEAR(A442)+1,$E$1:$J$1,0)),"")</f>
        <v/>
      </c>
      <c r="L442">
        <f>IFERROR(D442/K442,"")</f>
        <v/>
      </c>
    </row>
    <row r="443">
      <c r="C443">
        <f>IFERROR(VLOOKUP(B443,'Subsector Map'!$A:$B,2,0),"")</f>
        <v/>
      </c>
      <c r="K443">
        <f>IFERROR(INDEX(E443:J443,MATCH(YEAR(A443)+1,$E$1:$J$1,0)),"")</f>
        <v/>
      </c>
      <c r="L443">
        <f>IFERROR(D443/K443,"")</f>
        <v/>
      </c>
    </row>
    <row r="444">
      <c r="C444">
        <f>IFERROR(VLOOKUP(B444,'Subsector Map'!$A:$B,2,0),"")</f>
        <v/>
      </c>
      <c r="K444">
        <f>IFERROR(INDEX(E444:J444,MATCH(YEAR(A444)+1,$E$1:$J$1,0)),"")</f>
        <v/>
      </c>
      <c r="L444">
        <f>IFERROR(D444/K444,"")</f>
        <v/>
      </c>
    </row>
    <row r="445">
      <c r="C445">
        <f>IFERROR(VLOOKUP(B445,'Subsector Map'!$A:$B,2,0),"")</f>
        <v/>
      </c>
      <c r="K445">
        <f>IFERROR(INDEX(E445:J445,MATCH(YEAR(A445)+1,$E$1:$J$1,0)),"")</f>
        <v/>
      </c>
      <c r="L445">
        <f>IFERROR(D445/K445,"")</f>
        <v/>
      </c>
    </row>
    <row r="446">
      <c r="C446">
        <f>IFERROR(VLOOKUP(B446,'Subsector Map'!$A:$B,2,0),"")</f>
        <v/>
      </c>
      <c r="K446">
        <f>IFERROR(INDEX(E446:J446,MATCH(YEAR(A446)+1,$E$1:$J$1,0)),"")</f>
        <v/>
      </c>
      <c r="L446">
        <f>IFERROR(D446/K446,"")</f>
        <v/>
      </c>
    </row>
    <row r="447">
      <c r="C447">
        <f>IFERROR(VLOOKUP(B447,'Subsector Map'!$A:$B,2,0),"")</f>
        <v/>
      </c>
      <c r="K447">
        <f>IFERROR(INDEX(E447:J447,MATCH(YEAR(A447)+1,$E$1:$J$1,0)),"")</f>
        <v/>
      </c>
      <c r="L447">
        <f>IFERROR(D447/K447,"")</f>
        <v/>
      </c>
    </row>
    <row r="448">
      <c r="C448">
        <f>IFERROR(VLOOKUP(B448,'Subsector Map'!$A:$B,2,0),"")</f>
        <v/>
      </c>
      <c r="K448">
        <f>IFERROR(INDEX(E448:J448,MATCH(YEAR(A448)+1,$E$1:$J$1,0)),"")</f>
        <v/>
      </c>
      <c r="L448">
        <f>IFERROR(D448/K448,"")</f>
        <v/>
      </c>
    </row>
    <row r="449">
      <c r="C449">
        <f>IFERROR(VLOOKUP(B449,'Subsector Map'!$A:$B,2,0),"")</f>
        <v/>
      </c>
      <c r="K449">
        <f>IFERROR(INDEX(E449:J449,MATCH(YEAR(A449)+1,$E$1:$J$1,0)),"")</f>
        <v/>
      </c>
      <c r="L449">
        <f>IFERROR(D449/K449,"")</f>
        <v/>
      </c>
    </row>
    <row r="450">
      <c r="C450">
        <f>IFERROR(VLOOKUP(B450,'Subsector Map'!$A:$B,2,0),"")</f>
        <v/>
      </c>
      <c r="K450">
        <f>IFERROR(INDEX(E450:J450,MATCH(YEAR(A450)+1,$E$1:$J$1,0)),"")</f>
        <v/>
      </c>
      <c r="L450">
        <f>IFERROR(D450/K450,"")</f>
        <v/>
      </c>
    </row>
    <row r="451">
      <c r="C451">
        <f>IFERROR(VLOOKUP(B451,'Subsector Map'!$A:$B,2,0),"")</f>
        <v/>
      </c>
      <c r="K451">
        <f>IFERROR(INDEX(E451:J451,MATCH(YEAR(A451)+1,$E$1:$J$1,0)),"")</f>
        <v/>
      </c>
      <c r="L451">
        <f>IFERROR(D451/K451,"")</f>
        <v/>
      </c>
    </row>
    <row r="452">
      <c r="C452">
        <f>IFERROR(VLOOKUP(B452,'Subsector Map'!$A:$B,2,0),"")</f>
        <v/>
      </c>
      <c r="K452">
        <f>IFERROR(INDEX(E452:J452,MATCH(YEAR(A452)+1,$E$1:$J$1,0)),"")</f>
        <v/>
      </c>
      <c r="L452">
        <f>IFERROR(D452/K452,"")</f>
        <v/>
      </c>
    </row>
    <row r="453">
      <c r="C453">
        <f>IFERROR(VLOOKUP(B453,'Subsector Map'!$A:$B,2,0),"")</f>
        <v/>
      </c>
      <c r="K453">
        <f>IFERROR(INDEX(E453:J453,MATCH(YEAR(A453)+1,$E$1:$J$1,0)),"")</f>
        <v/>
      </c>
      <c r="L453">
        <f>IFERROR(D453/K453,"")</f>
        <v/>
      </c>
    </row>
    <row r="454">
      <c r="C454">
        <f>IFERROR(VLOOKUP(B454,'Subsector Map'!$A:$B,2,0),"")</f>
        <v/>
      </c>
      <c r="K454">
        <f>IFERROR(INDEX(E454:J454,MATCH(YEAR(A454)+1,$E$1:$J$1,0)),"")</f>
        <v/>
      </c>
      <c r="L454">
        <f>IFERROR(D454/K454,"")</f>
        <v/>
      </c>
    </row>
    <row r="455">
      <c r="C455">
        <f>IFERROR(VLOOKUP(B455,'Subsector Map'!$A:$B,2,0),"")</f>
        <v/>
      </c>
      <c r="K455">
        <f>IFERROR(INDEX(E455:J455,MATCH(YEAR(A455)+1,$E$1:$J$1,0)),"")</f>
        <v/>
      </c>
      <c r="L455">
        <f>IFERROR(D455/K455,"")</f>
        <v/>
      </c>
    </row>
    <row r="456">
      <c r="C456">
        <f>IFERROR(VLOOKUP(B456,'Subsector Map'!$A:$B,2,0),"")</f>
        <v/>
      </c>
      <c r="K456">
        <f>IFERROR(INDEX(E456:J456,MATCH(YEAR(A456)+1,$E$1:$J$1,0)),"")</f>
        <v/>
      </c>
      <c r="L456">
        <f>IFERROR(D456/K456,"")</f>
        <v/>
      </c>
    </row>
    <row r="457">
      <c r="C457">
        <f>IFERROR(VLOOKUP(B457,'Subsector Map'!$A:$B,2,0),"")</f>
        <v/>
      </c>
      <c r="K457">
        <f>IFERROR(INDEX(E457:J457,MATCH(YEAR(A457)+1,$E$1:$J$1,0)),"")</f>
        <v/>
      </c>
      <c r="L457">
        <f>IFERROR(D457/K457,"")</f>
        <v/>
      </c>
    </row>
    <row r="458">
      <c r="C458">
        <f>IFERROR(VLOOKUP(B458,'Subsector Map'!$A:$B,2,0),"")</f>
        <v/>
      </c>
      <c r="K458">
        <f>IFERROR(INDEX(E458:J458,MATCH(YEAR(A458)+1,$E$1:$J$1,0)),"")</f>
        <v/>
      </c>
      <c r="L458">
        <f>IFERROR(D458/K458,"")</f>
        <v/>
      </c>
    </row>
    <row r="459">
      <c r="C459">
        <f>IFERROR(VLOOKUP(B459,'Subsector Map'!$A:$B,2,0),"")</f>
        <v/>
      </c>
      <c r="K459">
        <f>IFERROR(INDEX(E459:J459,MATCH(YEAR(A459)+1,$E$1:$J$1,0)),"")</f>
        <v/>
      </c>
      <c r="L459">
        <f>IFERROR(D459/K459,"")</f>
        <v/>
      </c>
    </row>
    <row r="460">
      <c r="C460">
        <f>IFERROR(VLOOKUP(B460,'Subsector Map'!$A:$B,2,0),"")</f>
        <v/>
      </c>
      <c r="K460">
        <f>IFERROR(INDEX(E460:J460,MATCH(YEAR(A460)+1,$E$1:$J$1,0)),"")</f>
        <v/>
      </c>
      <c r="L460">
        <f>IFERROR(D460/K460,"")</f>
        <v/>
      </c>
    </row>
    <row r="461">
      <c r="C461">
        <f>IFERROR(VLOOKUP(B461,'Subsector Map'!$A:$B,2,0),"")</f>
        <v/>
      </c>
      <c r="K461">
        <f>IFERROR(INDEX(E461:J461,MATCH(YEAR(A461)+1,$E$1:$J$1,0)),"")</f>
        <v/>
      </c>
      <c r="L461">
        <f>IFERROR(D461/K461,"")</f>
        <v/>
      </c>
    </row>
    <row r="462">
      <c r="C462">
        <f>IFERROR(VLOOKUP(B462,'Subsector Map'!$A:$B,2,0),"")</f>
        <v/>
      </c>
      <c r="K462">
        <f>IFERROR(INDEX(E462:J462,MATCH(YEAR(A462)+1,$E$1:$J$1,0)),"")</f>
        <v/>
      </c>
      <c r="L462">
        <f>IFERROR(D462/K462,"")</f>
        <v/>
      </c>
    </row>
    <row r="463">
      <c r="C463">
        <f>IFERROR(VLOOKUP(B463,'Subsector Map'!$A:$B,2,0),"")</f>
        <v/>
      </c>
      <c r="K463">
        <f>IFERROR(INDEX(E463:J463,MATCH(YEAR(A463)+1,$E$1:$J$1,0)),"")</f>
        <v/>
      </c>
      <c r="L463">
        <f>IFERROR(D463/K463,"")</f>
        <v/>
      </c>
    </row>
    <row r="464">
      <c r="C464">
        <f>IFERROR(VLOOKUP(B464,'Subsector Map'!$A:$B,2,0),"")</f>
        <v/>
      </c>
      <c r="K464">
        <f>IFERROR(INDEX(E464:J464,MATCH(YEAR(A464)+1,$E$1:$J$1,0)),"")</f>
        <v/>
      </c>
      <c r="L464">
        <f>IFERROR(D464/K464,"")</f>
        <v/>
      </c>
    </row>
    <row r="465">
      <c r="C465">
        <f>IFERROR(VLOOKUP(B465,'Subsector Map'!$A:$B,2,0),"")</f>
        <v/>
      </c>
      <c r="K465">
        <f>IFERROR(INDEX(E465:J465,MATCH(YEAR(A465)+1,$E$1:$J$1,0)),"")</f>
        <v/>
      </c>
      <c r="L465">
        <f>IFERROR(D465/K465,"")</f>
        <v/>
      </c>
    </row>
    <row r="466">
      <c r="C466">
        <f>IFERROR(VLOOKUP(B466,'Subsector Map'!$A:$B,2,0),"")</f>
        <v/>
      </c>
      <c r="K466">
        <f>IFERROR(INDEX(E466:J466,MATCH(YEAR(A466)+1,$E$1:$J$1,0)),"")</f>
        <v/>
      </c>
      <c r="L466">
        <f>IFERROR(D466/K466,"")</f>
        <v/>
      </c>
    </row>
    <row r="467">
      <c r="C467">
        <f>IFERROR(VLOOKUP(B467,'Subsector Map'!$A:$B,2,0),"")</f>
        <v/>
      </c>
      <c r="K467">
        <f>IFERROR(INDEX(E467:J467,MATCH(YEAR(A467)+1,$E$1:$J$1,0)),"")</f>
        <v/>
      </c>
      <c r="L467">
        <f>IFERROR(D467/K467,"")</f>
        <v/>
      </c>
    </row>
    <row r="468">
      <c r="C468">
        <f>IFERROR(VLOOKUP(B468,'Subsector Map'!$A:$B,2,0),"")</f>
        <v/>
      </c>
      <c r="K468">
        <f>IFERROR(INDEX(E468:J468,MATCH(YEAR(A468)+1,$E$1:$J$1,0)),"")</f>
        <v/>
      </c>
      <c r="L468">
        <f>IFERROR(D468/K468,"")</f>
        <v/>
      </c>
    </row>
    <row r="469">
      <c r="C469">
        <f>IFERROR(VLOOKUP(B469,'Subsector Map'!$A:$B,2,0),"")</f>
        <v/>
      </c>
      <c r="K469">
        <f>IFERROR(INDEX(E469:J469,MATCH(YEAR(A469)+1,$E$1:$J$1,0)),"")</f>
        <v/>
      </c>
      <c r="L469">
        <f>IFERROR(D469/K469,"")</f>
        <v/>
      </c>
    </row>
    <row r="470">
      <c r="C470">
        <f>IFERROR(VLOOKUP(B470,'Subsector Map'!$A:$B,2,0),"")</f>
        <v/>
      </c>
      <c r="K470">
        <f>IFERROR(INDEX(E470:J470,MATCH(YEAR(A470)+1,$E$1:$J$1,0)),"")</f>
        <v/>
      </c>
      <c r="L470">
        <f>IFERROR(D470/K470,"")</f>
        <v/>
      </c>
    </row>
    <row r="471">
      <c r="C471">
        <f>IFERROR(VLOOKUP(B471,'Subsector Map'!$A:$B,2,0),"")</f>
        <v/>
      </c>
      <c r="K471">
        <f>IFERROR(INDEX(E471:J471,MATCH(YEAR(A471)+1,$E$1:$J$1,0)),"")</f>
        <v/>
      </c>
      <c r="L471">
        <f>IFERROR(D471/K471,"")</f>
        <v/>
      </c>
    </row>
    <row r="472">
      <c r="C472">
        <f>IFERROR(VLOOKUP(B472,'Subsector Map'!$A:$B,2,0),"")</f>
        <v/>
      </c>
      <c r="K472">
        <f>IFERROR(INDEX(E472:J472,MATCH(YEAR(A472)+1,$E$1:$J$1,0)),"")</f>
        <v/>
      </c>
      <c r="L472">
        <f>IFERROR(D472/K472,"")</f>
        <v/>
      </c>
    </row>
    <row r="473">
      <c r="C473">
        <f>IFERROR(VLOOKUP(B473,'Subsector Map'!$A:$B,2,0),"")</f>
        <v/>
      </c>
      <c r="K473">
        <f>IFERROR(INDEX(E473:J473,MATCH(YEAR(A473)+1,$E$1:$J$1,0)),"")</f>
        <v/>
      </c>
      <c r="L473">
        <f>IFERROR(D473/K473,"")</f>
        <v/>
      </c>
    </row>
    <row r="474">
      <c r="C474">
        <f>IFERROR(VLOOKUP(B474,'Subsector Map'!$A:$B,2,0),"")</f>
        <v/>
      </c>
      <c r="K474">
        <f>IFERROR(INDEX(E474:J474,MATCH(YEAR(A474)+1,$E$1:$J$1,0)),"")</f>
        <v/>
      </c>
      <c r="L474">
        <f>IFERROR(D474/K474,"")</f>
        <v/>
      </c>
    </row>
    <row r="475">
      <c r="C475">
        <f>IFERROR(VLOOKUP(B475,'Subsector Map'!$A:$B,2,0),"")</f>
        <v/>
      </c>
      <c r="K475">
        <f>IFERROR(INDEX(E475:J475,MATCH(YEAR(A475)+1,$E$1:$J$1,0)),"")</f>
        <v/>
      </c>
      <c r="L475">
        <f>IFERROR(D475/K475,"")</f>
        <v/>
      </c>
    </row>
    <row r="476">
      <c r="C476">
        <f>IFERROR(VLOOKUP(B476,'Subsector Map'!$A:$B,2,0),"")</f>
        <v/>
      </c>
      <c r="K476">
        <f>IFERROR(INDEX(E476:J476,MATCH(YEAR(A476)+1,$E$1:$J$1,0)),"")</f>
        <v/>
      </c>
      <c r="L476">
        <f>IFERROR(D476/K476,"")</f>
        <v/>
      </c>
    </row>
    <row r="477">
      <c r="C477">
        <f>IFERROR(VLOOKUP(B477,'Subsector Map'!$A:$B,2,0),"")</f>
        <v/>
      </c>
      <c r="K477">
        <f>IFERROR(INDEX(E477:J477,MATCH(YEAR(A477)+1,$E$1:$J$1,0)),"")</f>
        <v/>
      </c>
      <c r="L477">
        <f>IFERROR(D477/K477,"")</f>
        <v/>
      </c>
    </row>
    <row r="478">
      <c r="C478">
        <f>IFERROR(VLOOKUP(B478,'Subsector Map'!$A:$B,2,0),"")</f>
        <v/>
      </c>
      <c r="K478">
        <f>IFERROR(INDEX(E478:J478,MATCH(YEAR(A478)+1,$E$1:$J$1,0)),"")</f>
        <v/>
      </c>
      <c r="L478">
        <f>IFERROR(D478/K478,"")</f>
        <v/>
      </c>
    </row>
    <row r="479">
      <c r="C479">
        <f>IFERROR(VLOOKUP(B479,'Subsector Map'!$A:$B,2,0),"")</f>
        <v/>
      </c>
      <c r="K479">
        <f>IFERROR(INDEX(E479:J479,MATCH(YEAR(A479)+1,$E$1:$J$1,0)),"")</f>
        <v/>
      </c>
      <c r="L479">
        <f>IFERROR(D479/K479,"")</f>
        <v/>
      </c>
    </row>
    <row r="480">
      <c r="C480">
        <f>IFERROR(VLOOKUP(B480,'Subsector Map'!$A:$B,2,0),"")</f>
        <v/>
      </c>
      <c r="K480">
        <f>IFERROR(INDEX(E480:J480,MATCH(YEAR(A480)+1,$E$1:$J$1,0)),"")</f>
        <v/>
      </c>
      <c r="L480">
        <f>IFERROR(D480/K480,"")</f>
        <v/>
      </c>
    </row>
    <row r="481">
      <c r="C481">
        <f>IFERROR(VLOOKUP(B481,'Subsector Map'!$A:$B,2,0),"")</f>
        <v/>
      </c>
      <c r="K481">
        <f>IFERROR(INDEX(E481:J481,MATCH(YEAR(A481)+1,$E$1:$J$1,0)),"")</f>
        <v/>
      </c>
      <c r="L481">
        <f>IFERROR(D481/K481,"")</f>
        <v/>
      </c>
    </row>
    <row r="482">
      <c r="C482">
        <f>IFERROR(VLOOKUP(B482,'Subsector Map'!$A:$B,2,0),"")</f>
        <v/>
      </c>
      <c r="K482">
        <f>IFERROR(INDEX(E482:J482,MATCH(YEAR(A482)+1,$E$1:$J$1,0)),"")</f>
        <v/>
      </c>
      <c r="L482">
        <f>IFERROR(D482/K482,"")</f>
        <v/>
      </c>
    </row>
    <row r="483">
      <c r="C483">
        <f>IFERROR(VLOOKUP(B483,'Subsector Map'!$A:$B,2,0),"")</f>
        <v/>
      </c>
      <c r="K483">
        <f>IFERROR(INDEX(E483:J483,MATCH(YEAR(A483)+1,$E$1:$J$1,0)),"")</f>
        <v/>
      </c>
      <c r="L483">
        <f>IFERROR(D483/K483,"")</f>
        <v/>
      </c>
    </row>
    <row r="484">
      <c r="C484">
        <f>IFERROR(VLOOKUP(B484,'Subsector Map'!$A:$B,2,0),"")</f>
        <v/>
      </c>
      <c r="K484">
        <f>IFERROR(INDEX(E484:J484,MATCH(YEAR(A484)+1,$E$1:$J$1,0)),"")</f>
        <v/>
      </c>
      <c r="L484">
        <f>IFERROR(D484/K484,"")</f>
        <v/>
      </c>
    </row>
    <row r="485">
      <c r="C485">
        <f>IFERROR(VLOOKUP(B485,'Subsector Map'!$A:$B,2,0),"")</f>
        <v/>
      </c>
      <c r="K485">
        <f>IFERROR(INDEX(E485:J485,MATCH(YEAR(A485)+1,$E$1:$J$1,0)),"")</f>
        <v/>
      </c>
      <c r="L485">
        <f>IFERROR(D485/K485,"")</f>
        <v/>
      </c>
    </row>
    <row r="486">
      <c r="C486">
        <f>IFERROR(VLOOKUP(B486,'Subsector Map'!$A:$B,2,0),"")</f>
        <v/>
      </c>
      <c r="K486">
        <f>IFERROR(INDEX(E486:J486,MATCH(YEAR(A486)+1,$E$1:$J$1,0)),"")</f>
        <v/>
      </c>
      <c r="L486">
        <f>IFERROR(D486/K486,"")</f>
        <v/>
      </c>
    </row>
    <row r="487">
      <c r="C487">
        <f>IFERROR(VLOOKUP(B487,'Subsector Map'!$A:$B,2,0),"")</f>
        <v/>
      </c>
      <c r="K487">
        <f>IFERROR(INDEX(E487:J487,MATCH(YEAR(A487)+1,$E$1:$J$1,0)),"")</f>
        <v/>
      </c>
      <c r="L487">
        <f>IFERROR(D487/K487,"")</f>
        <v/>
      </c>
    </row>
    <row r="488">
      <c r="C488">
        <f>IFERROR(VLOOKUP(B488,'Subsector Map'!$A:$B,2,0),"")</f>
        <v/>
      </c>
      <c r="K488">
        <f>IFERROR(INDEX(E488:J488,MATCH(YEAR(A488)+1,$E$1:$J$1,0)),"")</f>
        <v/>
      </c>
      <c r="L488">
        <f>IFERROR(D488/K488,"")</f>
        <v/>
      </c>
    </row>
    <row r="489">
      <c r="C489">
        <f>IFERROR(VLOOKUP(B489,'Subsector Map'!$A:$B,2,0),"")</f>
        <v/>
      </c>
      <c r="K489">
        <f>IFERROR(INDEX(E489:J489,MATCH(YEAR(A489)+1,$E$1:$J$1,0)),"")</f>
        <v/>
      </c>
      <c r="L489">
        <f>IFERROR(D489/K489,"")</f>
        <v/>
      </c>
    </row>
    <row r="490">
      <c r="C490">
        <f>IFERROR(VLOOKUP(B490,'Subsector Map'!$A:$B,2,0),"")</f>
        <v/>
      </c>
      <c r="K490">
        <f>IFERROR(INDEX(E490:J490,MATCH(YEAR(A490)+1,$E$1:$J$1,0)),"")</f>
        <v/>
      </c>
      <c r="L490">
        <f>IFERROR(D490/K490,"")</f>
        <v/>
      </c>
    </row>
    <row r="491">
      <c r="C491">
        <f>IFERROR(VLOOKUP(B491,'Subsector Map'!$A:$B,2,0),"")</f>
        <v/>
      </c>
      <c r="K491">
        <f>IFERROR(INDEX(E491:J491,MATCH(YEAR(A491)+1,$E$1:$J$1,0)),"")</f>
        <v/>
      </c>
      <c r="L491">
        <f>IFERROR(D491/K491,"")</f>
        <v/>
      </c>
    </row>
    <row r="492">
      <c r="C492">
        <f>IFERROR(VLOOKUP(B492,'Subsector Map'!$A:$B,2,0),"")</f>
        <v/>
      </c>
      <c r="K492">
        <f>IFERROR(INDEX(E492:J492,MATCH(YEAR(A492)+1,$E$1:$J$1,0)),"")</f>
        <v/>
      </c>
      <c r="L492">
        <f>IFERROR(D492/K492,"")</f>
        <v/>
      </c>
    </row>
    <row r="493">
      <c r="C493">
        <f>IFERROR(VLOOKUP(B493,'Subsector Map'!$A:$B,2,0),"")</f>
        <v/>
      </c>
      <c r="K493">
        <f>IFERROR(INDEX(E493:J493,MATCH(YEAR(A493)+1,$E$1:$J$1,0)),"")</f>
        <v/>
      </c>
      <c r="L493">
        <f>IFERROR(D493/K493,"")</f>
        <v/>
      </c>
    </row>
    <row r="494">
      <c r="C494">
        <f>IFERROR(VLOOKUP(B494,'Subsector Map'!$A:$B,2,0),"")</f>
        <v/>
      </c>
      <c r="K494">
        <f>IFERROR(INDEX(E494:J494,MATCH(YEAR(A494)+1,$E$1:$J$1,0)),"")</f>
        <v/>
      </c>
      <c r="L494">
        <f>IFERROR(D494/K494,"")</f>
        <v/>
      </c>
    </row>
    <row r="495">
      <c r="C495">
        <f>IFERROR(VLOOKUP(B495,'Subsector Map'!$A:$B,2,0),"")</f>
        <v/>
      </c>
      <c r="K495">
        <f>IFERROR(INDEX(E495:J495,MATCH(YEAR(A495)+1,$E$1:$J$1,0)),"")</f>
        <v/>
      </c>
      <c r="L495">
        <f>IFERROR(D495/K495,"")</f>
        <v/>
      </c>
    </row>
    <row r="496">
      <c r="C496">
        <f>IFERROR(VLOOKUP(B496,'Subsector Map'!$A:$B,2,0),"")</f>
        <v/>
      </c>
      <c r="K496">
        <f>IFERROR(INDEX(E496:J496,MATCH(YEAR(A496)+1,$E$1:$J$1,0)),"")</f>
        <v/>
      </c>
      <c r="L496">
        <f>IFERROR(D496/K496,"")</f>
        <v/>
      </c>
    </row>
    <row r="497">
      <c r="C497">
        <f>IFERROR(VLOOKUP(B497,'Subsector Map'!$A:$B,2,0),"")</f>
        <v/>
      </c>
      <c r="K497">
        <f>IFERROR(INDEX(E497:J497,MATCH(YEAR(A497)+1,$E$1:$J$1,0)),"")</f>
        <v/>
      </c>
      <c r="L497">
        <f>IFERROR(D497/K497,"")</f>
        <v/>
      </c>
    </row>
    <row r="498">
      <c r="C498">
        <f>IFERROR(VLOOKUP(B498,'Subsector Map'!$A:$B,2,0),"")</f>
        <v/>
      </c>
      <c r="K498">
        <f>IFERROR(INDEX(E498:J498,MATCH(YEAR(A498)+1,$E$1:$J$1,0)),"")</f>
        <v/>
      </c>
      <c r="L498">
        <f>IFERROR(D498/K498,"")</f>
        <v/>
      </c>
    </row>
    <row r="499">
      <c r="C499">
        <f>IFERROR(VLOOKUP(B499,'Subsector Map'!$A:$B,2,0),"")</f>
        <v/>
      </c>
      <c r="K499">
        <f>IFERROR(INDEX(E499:J499,MATCH(YEAR(A499)+1,$E$1:$J$1,0)),"")</f>
        <v/>
      </c>
      <c r="L499">
        <f>IFERROR(D499/K499,"")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</cols>
  <sheetData>
    <row r="1">
      <c r="A1" s="6" t="inlineStr">
        <is>
          <t>PRIVATE EV/REVENUE — median by subsector by deal year (from M&amp;A + Raises, where disclosed)</t>
        </is>
      </c>
    </row>
    <row r="3">
      <c r="A3" s="2" t="inlineStr">
        <is>
          <t>Subsector \ Year</t>
        </is>
      </c>
      <c r="B3" s="2" t="inlineStr">
        <is>
          <t>2024</t>
        </is>
      </c>
      <c r="C3" s="2" t="inlineStr">
        <is>
          <t>2025</t>
        </is>
      </c>
      <c r="D3" s="2" t="inlineStr">
        <is>
          <t>2026</t>
        </is>
      </c>
    </row>
    <row r="4">
      <c r="A4" s="6" t="inlineStr">
        <is>
          <t>Asset &amp; Wealth Tech</t>
        </is>
      </c>
      <c r="B4">
        <f>IFERROR(MEDIAN(IF(('M&amp;A'!$A$2:$A$1000=$A4)*(YEAR('M&amp;A'!$D$2:$D$1000)=B$3)*('M&amp;A'!$H$2:$H$1000&lt;&gt;""),'M&amp;A'!$H$2:$H$1000),IF((Raises!$A$2:$A$1000=$A4)*(YEAR(Raises!$C$2:$C$1000)=B$3)*(Raises!$H$2:$H$1000&lt;&gt;""),Raises!$H$2:$H$1000)),"")</f>
        <v/>
      </c>
      <c r="C4">
        <f>IFERROR(MEDIAN(IF(('M&amp;A'!$A$2:$A$1000=$A4)*(YEAR('M&amp;A'!$D$2:$D$1000)=C$3)*('M&amp;A'!$H$2:$H$1000&lt;&gt;""),'M&amp;A'!$H$2:$H$1000),IF((Raises!$A$2:$A$1000=$A4)*(YEAR(Raises!$C$2:$C$1000)=C$3)*(Raises!$H$2:$H$1000&lt;&gt;""),Raises!$H$2:$H$1000)),"")</f>
        <v/>
      </c>
      <c r="D4">
        <f>IFERROR(MEDIAN(IF(('M&amp;A'!$A$2:$A$1000=$A4)*(YEAR('M&amp;A'!$D$2:$D$1000)=D$3)*('M&amp;A'!$H$2:$H$1000&lt;&gt;""),'M&amp;A'!$H$2:$H$1000),IF((Raises!$A$2:$A$1000=$A4)*(YEAR(Raises!$C$2:$C$1000)=D$3)*(Raises!$H$2:$H$1000&lt;&gt;""),Raises!$H$2:$H$1000)),"")</f>
        <v/>
      </c>
    </row>
    <row r="5">
      <c r="A5" s="6" t="inlineStr">
        <is>
          <t>Banking &amp; Lending Tech</t>
        </is>
      </c>
      <c r="B5">
        <f>IFERROR(MEDIAN(IF(('M&amp;A'!$A$2:$A$1000=$A5)*(YEAR('M&amp;A'!$D$2:$D$1000)=B$3)*('M&amp;A'!$H$2:$H$1000&lt;&gt;""),'M&amp;A'!$H$2:$H$1000),IF((Raises!$A$2:$A$1000=$A5)*(YEAR(Raises!$C$2:$C$1000)=B$3)*(Raises!$H$2:$H$1000&lt;&gt;""),Raises!$H$2:$H$1000)),"")</f>
        <v/>
      </c>
      <c r="C5">
        <f>IFERROR(MEDIAN(IF(('M&amp;A'!$A$2:$A$1000=$A5)*(YEAR('M&amp;A'!$D$2:$D$1000)=C$3)*('M&amp;A'!$H$2:$H$1000&lt;&gt;""),'M&amp;A'!$H$2:$H$1000),IF((Raises!$A$2:$A$1000=$A5)*(YEAR(Raises!$C$2:$C$1000)=C$3)*(Raises!$H$2:$H$1000&lt;&gt;""),Raises!$H$2:$H$1000)),"")</f>
        <v/>
      </c>
      <c r="D5">
        <f>IFERROR(MEDIAN(IF(('M&amp;A'!$A$2:$A$1000=$A5)*(YEAR('M&amp;A'!$D$2:$D$1000)=D$3)*('M&amp;A'!$H$2:$H$1000&lt;&gt;""),'M&amp;A'!$H$2:$H$1000),IF((Raises!$A$2:$A$1000=$A5)*(YEAR(Raises!$C$2:$C$1000)=D$3)*(Raises!$H$2:$H$1000&lt;&gt;""),Raises!$H$2:$H$1000)),"")</f>
        <v/>
      </c>
    </row>
    <row r="6">
      <c r="A6" s="6" t="inlineStr">
        <is>
          <t>Capital Markets Tech</t>
        </is>
      </c>
      <c r="B6">
        <f>IFERROR(MEDIAN(IF(('M&amp;A'!$A$2:$A$1000=$A6)*(YEAR('M&amp;A'!$D$2:$D$1000)=B$3)*('M&amp;A'!$H$2:$H$1000&lt;&gt;""),'M&amp;A'!$H$2:$H$1000),IF((Raises!$A$2:$A$1000=$A6)*(YEAR(Raises!$C$2:$C$1000)=B$3)*(Raises!$H$2:$H$1000&lt;&gt;""),Raises!$H$2:$H$1000)),"")</f>
        <v/>
      </c>
      <c r="C6">
        <f>IFERROR(MEDIAN(IF(('M&amp;A'!$A$2:$A$1000=$A6)*(YEAR('M&amp;A'!$D$2:$D$1000)=C$3)*('M&amp;A'!$H$2:$H$1000&lt;&gt;""),'M&amp;A'!$H$2:$H$1000),IF((Raises!$A$2:$A$1000=$A6)*(YEAR(Raises!$C$2:$C$1000)=C$3)*(Raises!$H$2:$H$1000&lt;&gt;""),Raises!$H$2:$H$1000)),"")</f>
        <v/>
      </c>
      <c r="D6">
        <f>IFERROR(MEDIAN(IF(('M&amp;A'!$A$2:$A$1000=$A6)*(YEAR('M&amp;A'!$D$2:$D$1000)=D$3)*('M&amp;A'!$H$2:$H$1000&lt;&gt;""),'M&amp;A'!$H$2:$H$1000),IF((Raises!$A$2:$A$1000=$A6)*(YEAR(Raises!$C$2:$C$1000)=D$3)*(Raises!$H$2:$H$1000&lt;&gt;""),Raises!$H$2:$H$1000)),"")</f>
        <v/>
      </c>
    </row>
    <row r="7">
      <c r="A7" s="6" t="inlineStr">
        <is>
          <t>Corporate Financial Function</t>
        </is>
      </c>
      <c r="B7">
        <f>IFERROR(MEDIAN(IF(('M&amp;A'!$A$2:$A$1000=$A7)*(YEAR('M&amp;A'!$D$2:$D$1000)=B$3)*('M&amp;A'!$H$2:$H$1000&lt;&gt;""),'M&amp;A'!$H$2:$H$1000),IF((Raises!$A$2:$A$1000=$A7)*(YEAR(Raises!$C$2:$C$1000)=B$3)*(Raises!$H$2:$H$1000&lt;&gt;""),Raises!$H$2:$H$1000)),"")</f>
        <v/>
      </c>
      <c r="C7">
        <f>IFERROR(MEDIAN(IF(('M&amp;A'!$A$2:$A$1000=$A7)*(YEAR('M&amp;A'!$D$2:$D$1000)=C$3)*('M&amp;A'!$H$2:$H$1000&lt;&gt;""),'M&amp;A'!$H$2:$H$1000),IF((Raises!$A$2:$A$1000=$A7)*(YEAR(Raises!$C$2:$C$1000)=C$3)*(Raises!$H$2:$H$1000&lt;&gt;""),Raises!$H$2:$H$1000)),"")</f>
        <v/>
      </c>
      <c r="D7">
        <f>IFERROR(MEDIAN(IF(('M&amp;A'!$A$2:$A$1000=$A7)*(YEAR('M&amp;A'!$D$2:$D$1000)=D$3)*('M&amp;A'!$H$2:$H$1000&lt;&gt;""),'M&amp;A'!$H$2:$H$1000),IF((Raises!$A$2:$A$1000=$A7)*(YEAR(Raises!$C$2:$C$1000)=D$3)*(Raises!$H$2:$H$1000&lt;&gt;""),Raises!$H$2:$H$1000)),"")</f>
        <v/>
      </c>
    </row>
    <row r="8">
      <c r="A8" s="6" t="inlineStr">
        <is>
          <t>Financial Info &amp; Analytics</t>
        </is>
      </c>
      <c r="B8">
        <f>IFERROR(MEDIAN(IF(('M&amp;A'!$A$2:$A$1000=$A8)*(YEAR('M&amp;A'!$D$2:$D$1000)=B$3)*('M&amp;A'!$H$2:$H$1000&lt;&gt;""),'M&amp;A'!$H$2:$H$1000),IF((Raises!$A$2:$A$1000=$A8)*(YEAR(Raises!$C$2:$C$1000)=B$3)*(Raises!$H$2:$H$1000&lt;&gt;""),Raises!$H$2:$H$1000)),"")</f>
        <v/>
      </c>
      <c r="C8">
        <f>IFERROR(MEDIAN(IF(('M&amp;A'!$A$2:$A$1000=$A8)*(YEAR('M&amp;A'!$D$2:$D$1000)=C$3)*('M&amp;A'!$H$2:$H$1000&lt;&gt;""),'M&amp;A'!$H$2:$H$1000),IF((Raises!$A$2:$A$1000=$A8)*(YEAR(Raises!$C$2:$C$1000)=C$3)*(Raises!$H$2:$H$1000&lt;&gt;""),Raises!$H$2:$H$1000)),"")</f>
        <v/>
      </c>
      <c r="D8">
        <f>IFERROR(MEDIAN(IF(('M&amp;A'!$A$2:$A$1000=$A8)*(YEAR('M&amp;A'!$D$2:$D$1000)=D$3)*('M&amp;A'!$H$2:$H$1000&lt;&gt;""),'M&amp;A'!$H$2:$H$1000),IF((Raises!$A$2:$A$1000=$A8)*(YEAR(Raises!$C$2:$C$1000)=D$3)*(Raises!$H$2:$H$1000&lt;&gt;""),Raises!$H$2:$H$1000)),"")</f>
        <v/>
      </c>
    </row>
    <row r="9">
      <c r="A9" s="6" t="inlineStr">
        <is>
          <t>InsurTech</t>
        </is>
      </c>
      <c r="B9">
        <f>IFERROR(MEDIAN(IF(('M&amp;A'!$A$2:$A$1000=$A9)*(YEAR('M&amp;A'!$D$2:$D$1000)=B$3)*('M&amp;A'!$H$2:$H$1000&lt;&gt;""),'M&amp;A'!$H$2:$H$1000),IF((Raises!$A$2:$A$1000=$A9)*(YEAR(Raises!$C$2:$C$1000)=B$3)*(Raises!$H$2:$H$1000&lt;&gt;""),Raises!$H$2:$H$1000)),"")</f>
        <v/>
      </c>
      <c r="C9">
        <f>IFERROR(MEDIAN(IF(('M&amp;A'!$A$2:$A$1000=$A9)*(YEAR('M&amp;A'!$D$2:$D$1000)=C$3)*('M&amp;A'!$H$2:$H$1000&lt;&gt;""),'M&amp;A'!$H$2:$H$1000),IF((Raises!$A$2:$A$1000=$A9)*(YEAR(Raises!$C$2:$C$1000)=C$3)*(Raises!$H$2:$H$1000&lt;&gt;""),Raises!$H$2:$H$1000)),"")</f>
        <v/>
      </c>
      <c r="D9">
        <f>IFERROR(MEDIAN(IF(('M&amp;A'!$A$2:$A$1000=$A9)*(YEAR('M&amp;A'!$D$2:$D$1000)=D$3)*('M&amp;A'!$H$2:$H$1000&lt;&gt;""),'M&amp;A'!$H$2:$H$1000),IF((Raises!$A$2:$A$1000=$A9)*(YEAR(Raises!$C$2:$C$1000)=D$3)*(Raises!$H$2:$H$1000&lt;&gt;""),Raises!$H$2:$H$1000)),"")</f>
        <v/>
      </c>
    </row>
    <row r="10">
      <c r="A10" s="6" t="inlineStr">
        <is>
          <t>Payments</t>
        </is>
      </c>
      <c r="B10">
        <f>IFERROR(MEDIAN(IF(('M&amp;A'!$A$2:$A$1000=$A10)*(YEAR('M&amp;A'!$D$2:$D$1000)=B$3)*('M&amp;A'!$H$2:$H$1000&lt;&gt;""),'M&amp;A'!$H$2:$H$1000),IF((Raises!$A$2:$A$1000=$A10)*(YEAR(Raises!$C$2:$C$1000)=B$3)*(Raises!$H$2:$H$1000&lt;&gt;""),Raises!$H$2:$H$1000)),"")</f>
        <v/>
      </c>
      <c r="C10">
        <f>IFERROR(MEDIAN(IF(('M&amp;A'!$A$2:$A$1000=$A10)*(YEAR('M&amp;A'!$D$2:$D$1000)=C$3)*('M&amp;A'!$H$2:$H$1000&lt;&gt;""),'M&amp;A'!$H$2:$H$1000),IF((Raises!$A$2:$A$1000=$A10)*(YEAR(Raises!$C$2:$C$1000)=C$3)*(Raises!$H$2:$H$1000&lt;&gt;""),Raises!$H$2:$H$1000)),"")</f>
        <v/>
      </c>
      <c r="D10">
        <f>IFERROR(MEDIAN(IF(('M&amp;A'!$A$2:$A$1000=$A10)*(YEAR('M&amp;A'!$D$2:$D$1000)=D$3)*('M&amp;A'!$H$2:$H$1000&lt;&gt;""),'M&amp;A'!$H$2:$H$1000),IF((Raises!$A$2:$A$1000=$A10)*(YEAR(Raises!$C$2:$C$1000)=D$3)*(Raises!$H$2:$H$1000&lt;&gt;""),Raises!$H$2:$H$1000)),"")</f>
        <v/>
      </c>
    </row>
    <row r="11">
      <c r="A11" s="6" t="inlineStr">
        <is>
          <t>Real Estate &amp; Mortgage Tech</t>
        </is>
      </c>
      <c r="B11">
        <f>IFERROR(MEDIAN(IF(('M&amp;A'!$A$2:$A$1000=$A11)*(YEAR('M&amp;A'!$D$2:$D$1000)=B$3)*('M&amp;A'!$H$2:$H$1000&lt;&gt;""),'M&amp;A'!$H$2:$H$1000),IF((Raises!$A$2:$A$1000=$A11)*(YEAR(Raises!$C$2:$C$1000)=B$3)*(Raises!$H$2:$H$1000&lt;&gt;""),Raises!$H$2:$H$1000)),"")</f>
        <v/>
      </c>
      <c r="C11">
        <f>IFERROR(MEDIAN(IF(('M&amp;A'!$A$2:$A$1000=$A11)*(YEAR('M&amp;A'!$D$2:$D$1000)=C$3)*('M&amp;A'!$H$2:$H$1000&lt;&gt;""),'M&amp;A'!$H$2:$H$1000),IF((Raises!$A$2:$A$1000=$A11)*(YEAR(Raises!$C$2:$C$1000)=C$3)*(Raises!$H$2:$H$1000&lt;&gt;""),Raises!$H$2:$H$1000)),"")</f>
        <v/>
      </c>
      <c r="D11">
        <f>IFERROR(MEDIAN(IF(('M&amp;A'!$A$2:$A$1000=$A11)*(YEAR('M&amp;A'!$D$2:$D$1000)=D$3)*('M&amp;A'!$H$2:$H$1000&lt;&gt;""),'M&amp;A'!$H$2:$H$1000),IF((Raises!$A$2:$A$1000=$A11)*(YEAR(Raises!$C$2:$C$1000)=D$3)*(Raises!$H$2:$H$1000&lt;&gt;""),Raises!$H$2:$H$1000)),"")</f>
        <v/>
      </c>
    </row>
    <row r="13">
      <c r="A13" s="6" t="inlineStr">
        <is>
          <t>PUBLIC FORWARD EV/REVENUE — median by subsector by snapshot (from Comps)</t>
        </is>
      </c>
    </row>
    <row r="14">
      <c r="A14" s="7" t="inlineStr">
        <is>
          <t>Put snapshot dates in B15, C15… (match Comps As-Of dates).</t>
        </is>
      </c>
    </row>
    <row r="15">
      <c r="A15" s="2" t="inlineStr">
        <is>
          <t>Subsector \ As-Of</t>
        </is>
      </c>
      <c r="B15" s="2" t="inlineStr">
        <is>
          <t>(date1)</t>
        </is>
      </c>
      <c r="C15" s="2" t="inlineStr">
        <is>
          <t>(date2)</t>
        </is>
      </c>
      <c r="D15" s="2" t="inlineStr">
        <is>
          <t>(date3)</t>
        </is>
      </c>
    </row>
    <row r="16">
      <c r="A16" s="6" t="inlineStr">
        <is>
          <t>Asset &amp; Wealth Tech</t>
        </is>
      </c>
      <c r="B16">
        <f>IFERROR(MEDIAN(IF((Comps!$C$3:$C$500=$A16)*(Comps!$A$3:$A$500=B$15),Comps!$L$3:$L$500)),"")</f>
        <v/>
      </c>
      <c r="C16">
        <f>IFERROR(MEDIAN(IF((Comps!$C$3:$C$500=$A16)*(Comps!$A$3:$A$500=C$15),Comps!$L$3:$L$500)),"")</f>
        <v/>
      </c>
      <c r="D16">
        <f>IFERROR(MEDIAN(IF((Comps!$C$3:$C$500=$A16)*(Comps!$A$3:$A$500=D$15),Comps!$L$3:$L$500)),"")</f>
        <v/>
      </c>
    </row>
    <row r="17">
      <c r="A17" s="6" t="inlineStr">
        <is>
          <t>Banking &amp; Lending Tech</t>
        </is>
      </c>
      <c r="B17">
        <f>IFERROR(MEDIAN(IF((Comps!$C$3:$C$500=$A17)*(Comps!$A$3:$A$500=B$15),Comps!$L$3:$L$500)),"")</f>
        <v/>
      </c>
      <c r="C17">
        <f>IFERROR(MEDIAN(IF((Comps!$C$3:$C$500=$A17)*(Comps!$A$3:$A$500=C$15),Comps!$L$3:$L$500)),"")</f>
        <v/>
      </c>
      <c r="D17">
        <f>IFERROR(MEDIAN(IF((Comps!$C$3:$C$500=$A17)*(Comps!$A$3:$A$500=D$15),Comps!$L$3:$L$500)),"")</f>
        <v/>
      </c>
    </row>
    <row r="18">
      <c r="A18" s="6" t="inlineStr">
        <is>
          <t>Capital Markets Tech</t>
        </is>
      </c>
      <c r="B18">
        <f>IFERROR(MEDIAN(IF((Comps!$C$3:$C$500=$A18)*(Comps!$A$3:$A$500=B$15),Comps!$L$3:$L$500)),"")</f>
        <v/>
      </c>
      <c r="C18">
        <f>IFERROR(MEDIAN(IF((Comps!$C$3:$C$500=$A18)*(Comps!$A$3:$A$500=C$15),Comps!$L$3:$L$500)),"")</f>
        <v/>
      </c>
      <c r="D18">
        <f>IFERROR(MEDIAN(IF((Comps!$C$3:$C$500=$A18)*(Comps!$A$3:$A$500=D$15),Comps!$L$3:$L$500)),"")</f>
        <v/>
      </c>
    </row>
    <row r="19">
      <c r="A19" s="6" t="inlineStr">
        <is>
          <t>Corporate Financial Function</t>
        </is>
      </c>
      <c r="B19">
        <f>IFERROR(MEDIAN(IF((Comps!$C$3:$C$500=$A19)*(Comps!$A$3:$A$500=B$15),Comps!$L$3:$L$500)),"")</f>
        <v/>
      </c>
      <c r="C19">
        <f>IFERROR(MEDIAN(IF((Comps!$C$3:$C$500=$A19)*(Comps!$A$3:$A$500=C$15),Comps!$L$3:$L$500)),"")</f>
        <v/>
      </c>
      <c r="D19">
        <f>IFERROR(MEDIAN(IF((Comps!$C$3:$C$500=$A19)*(Comps!$A$3:$A$500=D$15),Comps!$L$3:$L$500)),"")</f>
        <v/>
      </c>
    </row>
    <row r="20">
      <c r="A20" s="6" t="inlineStr">
        <is>
          <t>Financial Info &amp; Analytics</t>
        </is>
      </c>
      <c r="B20">
        <f>IFERROR(MEDIAN(IF((Comps!$C$3:$C$500=$A20)*(Comps!$A$3:$A$500=B$15),Comps!$L$3:$L$500)),"")</f>
        <v/>
      </c>
      <c r="C20">
        <f>IFERROR(MEDIAN(IF((Comps!$C$3:$C$500=$A20)*(Comps!$A$3:$A$500=C$15),Comps!$L$3:$L$500)),"")</f>
        <v/>
      </c>
      <c r="D20">
        <f>IFERROR(MEDIAN(IF((Comps!$C$3:$C$500=$A20)*(Comps!$A$3:$A$500=D$15),Comps!$L$3:$L$500)),"")</f>
        <v/>
      </c>
    </row>
    <row r="21">
      <c r="A21" s="6" t="inlineStr">
        <is>
          <t>InsurTech</t>
        </is>
      </c>
      <c r="B21">
        <f>IFERROR(MEDIAN(IF((Comps!$C$3:$C$500=$A21)*(Comps!$A$3:$A$500=B$15),Comps!$L$3:$L$500)),"")</f>
        <v/>
      </c>
      <c r="C21">
        <f>IFERROR(MEDIAN(IF((Comps!$C$3:$C$500=$A21)*(Comps!$A$3:$A$500=C$15),Comps!$L$3:$L$500)),"")</f>
        <v/>
      </c>
      <c r="D21">
        <f>IFERROR(MEDIAN(IF((Comps!$C$3:$C$500=$A21)*(Comps!$A$3:$A$500=D$15),Comps!$L$3:$L$500)),"")</f>
        <v/>
      </c>
    </row>
    <row r="22">
      <c r="A22" s="6" t="inlineStr">
        <is>
          <t>Payments</t>
        </is>
      </c>
      <c r="B22">
        <f>IFERROR(MEDIAN(IF((Comps!$C$3:$C$500=$A22)*(Comps!$A$3:$A$500=B$15),Comps!$L$3:$L$500)),"")</f>
        <v/>
      </c>
      <c r="C22">
        <f>IFERROR(MEDIAN(IF((Comps!$C$3:$C$500=$A22)*(Comps!$A$3:$A$500=C$15),Comps!$L$3:$L$500)),"")</f>
        <v/>
      </c>
      <c r="D22">
        <f>IFERROR(MEDIAN(IF((Comps!$C$3:$C$500=$A22)*(Comps!$A$3:$A$500=D$15),Comps!$L$3:$L$500)),"")</f>
        <v/>
      </c>
    </row>
    <row r="23">
      <c r="A23" s="6" t="inlineStr">
        <is>
          <t>Real Estate &amp; Mortgage Tech</t>
        </is>
      </c>
      <c r="B23">
        <f>IFERROR(MEDIAN(IF((Comps!$C$3:$C$500=$A23)*(Comps!$A$3:$A$500=B$15),Comps!$L$3:$L$500)),"")</f>
        <v/>
      </c>
      <c r="C23">
        <f>IFERROR(MEDIAN(IF((Comps!$C$3:$C$500=$A23)*(Comps!$A$3:$A$500=C$15),Comps!$L$3:$L$500)),"")</f>
        <v/>
      </c>
      <c r="D23">
        <f>IFERROR(MEDIAN(IF((Comps!$C$3:$C$500=$A23)*(Comps!$A$3:$A$500=D$15),Comps!$L$3:$L$500)),"")</f>
        <v/>
      </c>
    </row>
    <row r="25">
      <c r="A25" s="7" t="inlineStr">
        <is>
          <t>SPREAD = public forward median (matched period) − private median. Compute once both grids are populated for comparable periods.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2026-06-23T15:19:08Z</dcterms:created>
  <dcterms:modified xsi:type="dcterms:W3CDTF">2026-06-23T15:19:08Z</dcterms:modified>
</cp:coreProperties>
</file>