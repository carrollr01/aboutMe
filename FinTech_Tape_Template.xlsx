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eals" sheetId="2" state="visible" r:id="rId2"/>
    <sheet name="Rotation" sheetId="3" state="visible" r:id="rId3"/>
    <sheet name="Subsector Map" sheetId="4" state="visible" r:id="rId4"/>
    <sheet name="Comps" sheetId="5" state="visible" r:id="rId5"/>
    <sheet name="Multipl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F6FB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Deals" displayName="tblDeals" ref="A1:M600" headerRowCount="1">
  <autoFilter ref="A1:M600"/>
  <tableColumns count="13">
    <tableColumn id="1" name="Sector"/>
    <tableColumn id="2" name="DealType"/>
    <tableColumn id="3" name="Date"/>
    <tableColumn id="4" name="Quarter"/>
    <tableColumn id="5" name="Target"/>
    <tableColumn id="6" name="Acquirer/Lead"/>
    <tableColumn id="7" name="Country"/>
    <tableColumn id="8" name="EV ($M)"/>
    <tableColumn id="9" name="Amount ($M)"/>
    <tableColumn id="10" name="Valuation ($M)"/>
    <tableColumn id="11" name="EV/Rev"/>
    <tableColumn id="12" name="EV/EBITDA"/>
    <tableColumn id="13" name="Capital ($M)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FinTech Tape — template</t>
        </is>
      </c>
    </row>
    <row r="2"/>
    <row r="3">
      <c r="A3" t="inlineStr">
        <is>
          <t>WHAT THIS IS: the quantitative spine ('The Tape') under the FinTech Monitor narrative.</t>
        </is>
      </c>
    </row>
    <row r="4">
      <c r="A4" t="inlineStr">
        <is>
          <t>Deterministic math lives here in Excel; the narrative engine (NotebookLM) consumes the exported summary.</t>
        </is>
      </c>
    </row>
    <row r="5"/>
    <row r="6">
      <c r="A6" t="inlineStr">
        <is>
          <t>PHASE 1 — Sector Rotation (works TODAY, no comps needed):</t>
        </is>
      </c>
    </row>
    <row r="7">
      <c r="A7" t="inlineStr">
        <is>
          <t xml:space="preserve">  1. Paste your deal database into the 'Deals' sheet (match the columns). M&amp;A rows: put deal value in EV; raises: in Amount.</t>
        </is>
      </c>
    </row>
    <row r="8">
      <c r="A8" t="inlineStr">
        <is>
          <t xml:space="preserve">  2. The 'Quarter' and 'Capital' columns auto-fill. (Capital = EV for M&amp;A, Amount for raises.)</t>
        </is>
      </c>
    </row>
    <row r="9">
      <c r="A9" t="inlineStr">
        <is>
          <t xml:space="preserve">  3. The 'Rotation' sheet then shows $ and # of deals by subsector by quarter — your capital-rotation view.</t>
        </is>
      </c>
    </row>
    <row r="10">
      <c r="A10" t="inlineStr">
        <is>
          <t xml:space="preserve">  4. Add quarter columns on 'Rotation' as your history grows (copy a column, change the 2026-Q2 label).</t>
        </is>
      </c>
    </row>
    <row r="11"/>
    <row r="12">
      <c r="A12" t="inlineStr">
        <is>
          <t>PHASE 2 — Multiples &amp; Spread (needs the CapIQ comps backfill):</t>
        </is>
      </c>
    </row>
    <row r="13">
      <c r="A13" t="inlineStr">
        <is>
          <t xml:space="preserve">  5. Build 'Subsector Map' (Ticker -&gt; one of the 8 sectors).</t>
        </is>
      </c>
    </row>
    <row r="14">
      <c r="A14" t="inlineStr">
        <is>
          <t xml:space="preserve">  6. Stack each historical comps snapshot into 'Comps' with its As-Of Date (=cell D3 from each CapIQ pull).</t>
        </is>
      </c>
    </row>
    <row r="15">
      <c r="A15" t="inlineStr">
        <is>
          <t xml:space="preserve">  7. 'Multiples' then trends median forward EV/Revenue by subsector over time (self-computed = EV / next-year revenue).</t>
        </is>
      </c>
    </row>
    <row r="16"/>
    <row r="17">
      <c r="A17" t="inlineStr">
        <is>
          <t>EXPORT: the 'Rotation' + 'Multiples' tables are what you save to PDF and upload to NotebookLM as the 'Tape Summary'.</t>
        </is>
      </c>
    </row>
    <row r="18"/>
    <row r="19">
      <c r="A19" t="inlineStr">
        <is>
          <t>NOTE: sample rows are loaded so the formulas show live results. Replace them with your real 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0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0" customWidth="1" min="4" max="4"/>
    <col width="18" customWidth="1" min="5" max="5"/>
    <col width="18" customWidth="1" min="6" max="6"/>
    <col width="12" customWidth="1" min="7" max="7"/>
    <col width="9" customWidth="1" min="8" max="8"/>
    <col width="11" customWidth="1" min="9" max="9"/>
    <col width="13" customWidth="1" min="10" max="10"/>
    <col width="8" customWidth="1" min="11" max="11"/>
    <col width="9" customWidth="1" min="12" max="12"/>
    <col width="11" customWidth="1" min="13" max="13"/>
  </cols>
  <sheetData>
    <row r="1">
      <c r="A1" s="2" t="inlineStr">
        <is>
          <t>Sector</t>
        </is>
      </c>
      <c r="B1" s="2" t="inlineStr">
        <is>
          <t>DealType</t>
        </is>
      </c>
      <c r="C1" s="2" t="inlineStr">
        <is>
          <t>Date</t>
        </is>
      </c>
      <c r="D1" s="2" t="inlineStr">
        <is>
          <t>Quarter</t>
        </is>
      </c>
      <c r="E1" s="2" t="inlineStr">
        <is>
          <t>Target</t>
        </is>
      </c>
      <c r="F1" s="2" t="inlineStr">
        <is>
          <t>Acquirer/Lead</t>
        </is>
      </c>
      <c r="G1" s="2" t="inlineStr">
        <is>
          <t>Country</t>
        </is>
      </c>
      <c r="H1" s="2" t="inlineStr">
        <is>
          <t>EV ($M)</t>
        </is>
      </c>
      <c r="I1" s="2" t="inlineStr">
        <is>
          <t>Amount ($M)</t>
        </is>
      </c>
      <c r="J1" s="2" t="inlineStr">
        <is>
          <t>Valuation ($M)</t>
        </is>
      </c>
      <c r="K1" s="2" t="inlineStr">
        <is>
          <t>EV/Rev</t>
        </is>
      </c>
      <c r="L1" s="2" t="inlineStr">
        <is>
          <t>EV/EBITDA</t>
        </is>
      </c>
      <c r="M1" s="2" t="inlineStr">
        <is>
          <t>Capital ($M)</t>
        </is>
      </c>
    </row>
    <row r="2">
      <c r="A2" t="inlineStr">
        <is>
          <t>Banking &amp; Lending Tech</t>
        </is>
      </c>
      <c r="B2" t="inlineStr">
        <is>
          <t>M&amp;A</t>
        </is>
      </c>
      <c r="C2" s="5" t="n">
        <v>46189</v>
      </c>
      <c r="D2">
        <f>IF(C2="","",YEAR(C2)&amp;"-Q"&amp;ROUNDUP(MONTH(C2)/3,0))</f>
        <v/>
      </c>
      <c r="E2" t="inlineStr">
        <is>
          <t>Open Lending</t>
        </is>
      </c>
      <c r="F2" t="inlineStr">
        <is>
          <t>ANV Group</t>
        </is>
      </c>
      <c r="G2" t="inlineStr">
        <is>
          <t>US</t>
        </is>
      </c>
      <c r="H2" t="n">
        <v>372</v>
      </c>
      <c r="M2">
        <f>IF(B2="M&amp;A",N(H2),N(I2))</f>
        <v/>
      </c>
    </row>
    <row r="3">
      <c r="A3" t="inlineStr">
        <is>
          <t>Banking &amp; Lending Tech</t>
        </is>
      </c>
      <c r="B3" t="inlineStr">
        <is>
          <t>Raise</t>
        </is>
      </c>
      <c r="C3" s="5" t="n">
        <v>46187</v>
      </c>
      <c r="D3">
        <f>IF(C3="","",YEAR(C3)&amp;"-Q"&amp;ROUNDUP(MONTH(C3)/3,0))</f>
        <v/>
      </c>
      <c r="E3" t="inlineStr">
        <is>
          <t>D360 Bank</t>
        </is>
      </c>
      <c r="F3" t="inlineStr">
        <is>
          <t>PIF / Derayah</t>
        </is>
      </c>
      <c r="G3" t="inlineStr">
        <is>
          <t>Saudi Arabia</t>
        </is>
      </c>
      <c r="I3" t="n">
        <v>400</v>
      </c>
      <c r="J3" t="n">
        <v>1600</v>
      </c>
      <c r="M3">
        <f>IF(B3="M&amp;A",N(H3),N(I3))</f>
        <v/>
      </c>
    </row>
    <row r="4">
      <c r="A4" t="inlineStr">
        <is>
          <t>Banking &amp; Lending Tech</t>
        </is>
      </c>
      <c r="B4" t="inlineStr">
        <is>
          <t>Raise</t>
        </is>
      </c>
      <c r="C4" s="5" t="n">
        <v>46190</v>
      </c>
      <c r="D4">
        <f>IF(C4="","",YEAR(C4)&amp;"-Q"&amp;ROUNDUP(MONTH(C4)/3,0))</f>
        <v/>
      </c>
      <c r="E4" t="inlineStr">
        <is>
          <t>Karta</t>
        </is>
      </c>
      <c r="F4" t="inlineStr">
        <is>
          <t>Galaxy / CIM</t>
        </is>
      </c>
      <c r="G4" t="inlineStr">
        <is>
          <t>US</t>
        </is>
      </c>
      <c r="I4" t="n">
        <v>15</v>
      </c>
      <c r="M4">
        <f>IF(B4="M&amp;A",N(H4),N(I4))</f>
        <v/>
      </c>
    </row>
    <row r="5">
      <c r="A5" t="inlineStr">
        <is>
          <t>Capital Markets Tech</t>
        </is>
      </c>
      <c r="B5" t="inlineStr">
        <is>
          <t>Raise</t>
        </is>
      </c>
      <c r="C5" s="5" t="n">
        <v>46189</v>
      </c>
      <c r="D5">
        <f>IF(C5="","",YEAR(C5)&amp;"-Q"&amp;ROUNDUP(MONTH(C5)/3,0))</f>
        <v/>
      </c>
      <c r="E5" t="inlineStr">
        <is>
          <t>Chronograph</t>
        </is>
      </c>
      <c r="F5" t="inlineStr">
        <is>
          <t>Sixth Street</t>
        </is>
      </c>
      <c r="G5" t="inlineStr">
        <is>
          <t>US</t>
        </is>
      </c>
      <c r="I5" t="n">
        <v>140</v>
      </c>
      <c r="M5">
        <f>IF(B5="M&amp;A",N(H5),N(I5))</f>
        <v/>
      </c>
    </row>
    <row r="6">
      <c r="A6" t="inlineStr">
        <is>
          <t>Corporate Financial Function</t>
        </is>
      </c>
      <c r="B6" t="inlineStr">
        <is>
          <t>Raise</t>
        </is>
      </c>
      <c r="C6" s="5" t="n">
        <v>46190</v>
      </c>
      <c r="D6">
        <f>IF(C6="","",YEAR(C6)&amp;"-Q"&amp;ROUNDUP(MONTH(C6)/3,0))</f>
        <v/>
      </c>
      <c r="E6" t="inlineStr">
        <is>
          <t>BIPO</t>
        </is>
      </c>
      <c r="F6" t="inlineStr">
        <is>
          <t>Apis Partners</t>
        </is>
      </c>
      <c r="G6" t="inlineStr">
        <is>
          <t>Singapore</t>
        </is>
      </c>
      <c r="I6" t="n">
        <v>50</v>
      </c>
      <c r="M6">
        <f>IF(B6="M&amp;A",N(H6),N(I6))</f>
        <v/>
      </c>
    </row>
    <row r="7">
      <c r="A7" t="inlineStr">
        <is>
          <t>Financial Info &amp; Analytics</t>
        </is>
      </c>
      <c r="B7" t="inlineStr">
        <is>
          <t>Raise</t>
        </is>
      </c>
      <c r="C7" s="5" t="n">
        <v>46190</v>
      </c>
      <c r="D7">
        <f>IF(C7="","",YEAR(C7)&amp;"-Q"&amp;ROUNDUP(MONTH(C7)/3,0))</f>
        <v/>
      </c>
      <c r="E7" t="inlineStr">
        <is>
          <t>Behavox</t>
        </is>
      </c>
      <c r="F7" t="inlineStr">
        <is>
          <t>HPS</t>
        </is>
      </c>
      <c r="G7" t="inlineStr">
        <is>
          <t>US</t>
        </is>
      </c>
      <c r="I7" t="n">
        <v>175</v>
      </c>
      <c r="M7">
        <f>IF(B7="M&amp;A",N(H7),N(I7))</f>
        <v/>
      </c>
    </row>
    <row r="8">
      <c r="A8" t="inlineStr">
        <is>
          <t>InsurTech</t>
        </is>
      </c>
      <c r="B8" t="inlineStr">
        <is>
          <t>Raise</t>
        </is>
      </c>
      <c r="C8" s="5" t="n">
        <v>46191</v>
      </c>
      <c r="D8">
        <f>IF(C8="","",YEAR(C8)&amp;"-Q"&amp;ROUNDUP(MONTH(C8)/3,0))</f>
        <v/>
      </c>
      <c r="E8" t="inlineStr">
        <is>
          <t>Connie Health</t>
        </is>
      </c>
      <c r="F8" t="inlineStr">
        <is>
          <t>HealthQuest</t>
        </is>
      </c>
      <c r="G8" t="inlineStr">
        <is>
          <t>US</t>
        </is>
      </c>
      <c r="I8" t="n">
        <v>40</v>
      </c>
      <c r="M8">
        <f>IF(B8="M&amp;A",N(H8),N(I8))</f>
        <v/>
      </c>
    </row>
    <row r="9">
      <c r="A9" t="inlineStr">
        <is>
          <t>Payments</t>
        </is>
      </c>
      <c r="B9" t="inlineStr">
        <is>
          <t>M&amp;A</t>
        </is>
      </c>
      <c r="C9" s="5" t="n">
        <v>46191</v>
      </c>
      <c r="D9">
        <f>IF(C9="","",YEAR(C9)&amp;"-Q"&amp;ROUNDUP(MONTH(C9)/3,0))</f>
        <v/>
      </c>
      <c r="E9" t="inlineStr">
        <is>
          <t>Celero Commerce</t>
        </is>
      </c>
      <c r="F9" t="inlineStr">
        <is>
          <t>Deluxe</t>
        </is>
      </c>
      <c r="G9" t="inlineStr">
        <is>
          <t>US</t>
        </is>
      </c>
      <c r="H9" t="n">
        <v>625</v>
      </c>
      <c r="M9">
        <f>IF(B9="M&amp;A",N(H9),N(I9))</f>
        <v/>
      </c>
    </row>
    <row r="10">
      <c r="A10" t="inlineStr">
        <is>
          <t>Payments</t>
        </is>
      </c>
      <c r="B10" t="inlineStr">
        <is>
          <t>Raise</t>
        </is>
      </c>
      <c r="C10" s="5" t="n">
        <v>46188</v>
      </c>
      <c r="D10">
        <f>IF(C10="","",YEAR(C10)&amp;"-Q"&amp;ROUNDUP(MONTH(C10)/3,0))</f>
        <v/>
      </c>
      <c r="E10" t="inlineStr">
        <is>
          <t>Interchecks</t>
        </is>
      </c>
      <c r="F10" t="inlineStr">
        <is>
          <t>Bettor Capital</t>
        </is>
      </c>
      <c r="G10" t="inlineStr">
        <is>
          <t>US</t>
        </is>
      </c>
      <c r="I10" t="n">
        <v>50</v>
      </c>
      <c r="M10">
        <f>IF(B10="M&amp;A",N(H10),N(I10))</f>
        <v/>
      </c>
    </row>
    <row r="11">
      <c r="A11" t="inlineStr">
        <is>
          <t>Payments</t>
        </is>
      </c>
      <c r="B11" t="inlineStr">
        <is>
          <t>Raise</t>
        </is>
      </c>
      <c r="C11" s="5" t="n">
        <v>46190</v>
      </c>
      <c r="D11">
        <f>IF(C11="","",YEAR(C11)&amp;"-Q"&amp;ROUNDUP(MONTH(C11)/3,0))</f>
        <v/>
      </c>
      <c r="E11" t="inlineStr">
        <is>
          <t>Trace Finance</t>
        </is>
      </c>
      <c r="F11" t="inlineStr">
        <is>
          <t>CoinFund</t>
        </is>
      </c>
      <c r="G11" t="inlineStr">
        <is>
          <t>US</t>
        </is>
      </c>
      <c r="I11" t="n">
        <v>32</v>
      </c>
      <c r="M11">
        <f>IF(B11="M&amp;A",N(H11),N(I11))</f>
        <v/>
      </c>
    </row>
    <row r="12">
      <c r="A12" t="inlineStr">
        <is>
          <t>Asset &amp; Wealth Tech</t>
        </is>
      </c>
      <c r="B12" t="inlineStr">
        <is>
          <t>Raise</t>
        </is>
      </c>
      <c r="C12" s="5" t="n">
        <v>46192</v>
      </c>
      <c r="D12">
        <f>IF(C12="","",YEAR(C12)&amp;"-Q"&amp;ROUNDUP(MONTH(C12)/3,0))</f>
        <v/>
      </c>
      <c r="E12" t="inlineStr">
        <is>
          <t>Festina Finance</t>
        </is>
      </c>
      <c r="F12" t="inlineStr">
        <is>
          <t>Birchway</t>
        </is>
      </c>
      <c r="G12" t="inlineStr">
        <is>
          <t>Denmark</t>
        </is>
      </c>
      <c r="I12" t="n">
        <v>27</v>
      </c>
      <c r="J12" t="n">
        <v>216</v>
      </c>
      <c r="M12">
        <f>IF(B12="M&amp;A",N(H12),N(I12))</f>
        <v/>
      </c>
    </row>
    <row r="13">
      <c r="A13" t="inlineStr">
        <is>
          <t>Real Estate &amp; Mortgage Tech</t>
        </is>
      </c>
      <c r="B13" t="inlineStr">
        <is>
          <t>M&amp;A</t>
        </is>
      </c>
      <c r="C13" s="5" t="n">
        <v>46190</v>
      </c>
      <c r="D13">
        <f>IF(C13="","",YEAR(C13)&amp;"-Q"&amp;ROUNDUP(MONTH(C13)/3,0))</f>
        <v/>
      </c>
      <c r="E13" t="inlineStr">
        <is>
          <t>Fathom Holdings</t>
        </is>
      </c>
      <c r="F13" t="inlineStr">
        <is>
          <t>Beyond</t>
        </is>
      </c>
      <c r="G13" t="inlineStr">
        <is>
          <t>US</t>
        </is>
      </c>
      <c r="H13" t="n">
        <v>53</v>
      </c>
      <c r="M13">
        <f>IF(B13="M&amp;A",N(H13),N(I13))</f>
        <v/>
      </c>
    </row>
    <row r="14">
      <c r="A14" t="inlineStr">
        <is>
          <t>InsurTech</t>
        </is>
      </c>
      <c r="B14" t="inlineStr">
        <is>
          <t>Raise</t>
        </is>
      </c>
      <c r="C14" s="5" t="n">
        <v>46183</v>
      </c>
      <c r="D14">
        <f>IF(C14="","",YEAR(C14)&amp;"-Q"&amp;ROUNDUP(MONTH(C14)/3,0))</f>
        <v/>
      </c>
      <c r="E14" t="inlineStr">
        <is>
          <t>Poetic</t>
        </is>
      </c>
      <c r="F14" t="inlineStr">
        <is>
          <t>Kleiner Perkins</t>
        </is>
      </c>
      <c r="G14" t="inlineStr">
        <is>
          <t>US</t>
        </is>
      </c>
      <c r="I14" t="n">
        <v>50</v>
      </c>
      <c r="J14" t="n">
        <v>500</v>
      </c>
      <c r="M14">
        <f>IF(B14="M&amp;A",N(H14),N(I14))</f>
        <v/>
      </c>
    </row>
    <row r="15">
      <c r="D15">
        <f>IF(C15="","",YEAR(C15)&amp;"-Q"&amp;ROUNDUP(MONTH(C15)/3,0))</f>
        <v/>
      </c>
      <c r="M15">
        <f>IF(B15="M&amp;A",N(H15),N(I15))</f>
        <v/>
      </c>
    </row>
    <row r="16">
      <c r="D16">
        <f>IF(C16="","",YEAR(C16)&amp;"-Q"&amp;ROUNDUP(MONTH(C16)/3,0))</f>
        <v/>
      </c>
      <c r="M16">
        <f>IF(B16="M&amp;A",N(H16),N(I16))</f>
        <v/>
      </c>
    </row>
    <row r="17">
      <c r="D17">
        <f>IF(C17="","",YEAR(C17)&amp;"-Q"&amp;ROUNDUP(MONTH(C17)/3,0))</f>
        <v/>
      </c>
      <c r="M17">
        <f>IF(B17="M&amp;A",N(H17),N(I17))</f>
        <v/>
      </c>
    </row>
    <row r="18">
      <c r="D18">
        <f>IF(C18="","",YEAR(C18)&amp;"-Q"&amp;ROUNDUP(MONTH(C18)/3,0))</f>
        <v/>
      </c>
      <c r="M18">
        <f>IF(B18="M&amp;A",N(H18),N(I18))</f>
        <v/>
      </c>
    </row>
    <row r="19">
      <c r="D19">
        <f>IF(C19="","",YEAR(C19)&amp;"-Q"&amp;ROUNDUP(MONTH(C19)/3,0))</f>
        <v/>
      </c>
      <c r="M19">
        <f>IF(B19="M&amp;A",N(H19),N(I19))</f>
        <v/>
      </c>
    </row>
    <row r="20">
      <c r="D20">
        <f>IF(C20="","",YEAR(C20)&amp;"-Q"&amp;ROUNDUP(MONTH(C20)/3,0))</f>
        <v/>
      </c>
      <c r="M20">
        <f>IF(B20="M&amp;A",N(H20),N(I20))</f>
        <v/>
      </c>
    </row>
    <row r="21">
      <c r="D21">
        <f>IF(C21="","",YEAR(C21)&amp;"-Q"&amp;ROUNDUP(MONTH(C21)/3,0))</f>
        <v/>
      </c>
      <c r="M21">
        <f>IF(B21="M&amp;A",N(H21),N(I21))</f>
        <v/>
      </c>
    </row>
    <row r="22">
      <c r="D22">
        <f>IF(C22="","",YEAR(C22)&amp;"-Q"&amp;ROUNDUP(MONTH(C22)/3,0))</f>
        <v/>
      </c>
      <c r="M22">
        <f>IF(B22="M&amp;A",N(H22),N(I22))</f>
        <v/>
      </c>
    </row>
    <row r="23">
      <c r="D23">
        <f>IF(C23="","",YEAR(C23)&amp;"-Q"&amp;ROUNDUP(MONTH(C23)/3,0))</f>
        <v/>
      </c>
      <c r="M23">
        <f>IF(B23="M&amp;A",N(H23),N(I23))</f>
        <v/>
      </c>
    </row>
    <row r="24">
      <c r="D24">
        <f>IF(C24="","",YEAR(C24)&amp;"-Q"&amp;ROUNDUP(MONTH(C24)/3,0))</f>
        <v/>
      </c>
      <c r="M24">
        <f>IF(B24="M&amp;A",N(H24),N(I24))</f>
        <v/>
      </c>
    </row>
    <row r="25">
      <c r="D25">
        <f>IF(C25="","",YEAR(C25)&amp;"-Q"&amp;ROUNDUP(MONTH(C25)/3,0))</f>
        <v/>
      </c>
      <c r="M25">
        <f>IF(B25="M&amp;A",N(H25),N(I25))</f>
        <v/>
      </c>
    </row>
    <row r="26">
      <c r="D26">
        <f>IF(C26="","",YEAR(C26)&amp;"-Q"&amp;ROUNDUP(MONTH(C26)/3,0))</f>
        <v/>
      </c>
      <c r="M26">
        <f>IF(B26="M&amp;A",N(H26),N(I26))</f>
        <v/>
      </c>
    </row>
    <row r="27">
      <c r="D27">
        <f>IF(C27="","",YEAR(C27)&amp;"-Q"&amp;ROUNDUP(MONTH(C27)/3,0))</f>
        <v/>
      </c>
      <c r="M27">
        <f>IF(B27="M&amp;A",N(H27),N(I27))</f>
        <v/>
      </c>
    </row>
    <row r="28">
      <c r="D28">
        <f>IF(C28="","",YEAR(C28)&amp;"-Q"&amp;ROUNDUP(MONTH(C28)/3,0))</f>
        <v/>
      </c>
      <c r="M28">
        <f>IF(B28="M&amp;A",N(H28),N(I28))</f>
        <v/>
      </c>
    </row>
    <row r="29">
      <c r="D29">
        <f>IF(C29="","",YEAR(C29)&amp;"-Q"&amp;ROUNDUP(MONTH(C29)/3,0))</f>
        <v/>
      </c>
      <c r="M29">
        <f>IF(B29="M&amp;A",N(H29),N(I29))</f>
        <v/>
      </c>
    </row>
    <row r="30">
      <c r="D30">
        <f>IF(C30="","",YEAR(C30)&amp;"-Q"&amp;ROUNDUP(MONTH(C30)/3,0))</f>
        <v/>
      </c>
      <c r="M30">
        <f>IF(B30="M&amp;A",N(H30),N(I30))</f>
        <v/>
      </c>
    </row>
    <row r="31">
      <c r="D31">
        <f>IF(C31="","",YEAR(C31)&amp;"-Q"&amp;ROUNDUP(MONTH(C31)/3,0))</f>
        <v/>
      </c>
      <c r="M31">
        <f>IF(B31="M&amp;A",N(H31),N(I31))</f>
        <v/>
      </c>
    </row>
    <row r="32">
      <c r="D32">
        <f>IF(C32="","",YEAR(C32)&amp;"-Q"&amp;ROUNDUP(MONTH(C32)/3,0))</f>
        <v/>
      </c>
      <c r="M32">
        <f>IF(B32="M&amp;A",N(H32),N(I32))</f>
        <v/>
      </c>
    </row>
    <row r="33">
      <c r="D33">
        <f>IF(C33="","",YEAR(C33)&amp;"-Q"&amp;ROUNDUP(MONTH(C33)/3,0))</f>
        <v/>
      </c>
      <c r="M33">
        <f>IF(B33="M&amp;A",N(H33),N(I33))</f>
        <v/>
      </c>
    </row>
    <row r="34">
      <c r="D34">
        <f>IF(C34="","",YEAR(C34)&amp;"-Q"&amp;ROUNDUP(MONTH(C34)/3,0))</f>
        <v/>
      </c>
      <c r="M34">
        <f>IF(B34="M&amp;A",N(H34),N(I34))</f>
        <v/>
      </c>
    </row>
    <row r="35">
      <c r="D35">
        <f>IF(C35="","",YEAR(C35)&amp;"-Q"&amp;ROUNDUP(MONTH(C35)/3,0))</f>
        <v/>
      </c>
      <c r="M35">
        <f>IF(B35="M&amp;A",N(H35),N(I35))</f>
        <v/>
      </c>
    </row>
    <row r="36">
      <c r="D36">
        <f>IF(C36="","",YEAR(C36)&amp;"-Q"&amp;ROUNDUP(MONTH(C36)/3,0))</f>
        <v/>
      </c>
      <c r="M36">
        <f>IF(B36="M&amp;A",N(H36),N(I36))</f>
        <v/>
      </c>
    </row>
    <row r="37">
      <c r="D37">
        <f>IF(C37="","",YEAR(C37)&amp;"-Q"&amp;ROUNDUP(MONTH(C37)/3,0))</f>
        <v/>
      </c>
      <c r="M37">
        <f>IF(B37="M&amp;A",N(H37),N(I37))</f>
        <v/>
      </c>
    </row>
    <row r="38">
      <c r="D38">
        <f>IF(C38="","",YEAR(C38)&amp;"-Q"&amp;ROUNDUP(MONTH(C38)/3,0))</f>
        <v/>
      </c>
      <c r="M38">
        <f>IF(B38="M&amp;A",N(H38),N(I38))</f>
        <v/>
      </c>
    </row>
    <row r="39">
      <c r="D39">
        <f>IF(C39="","",YEAR(C39)&amp;"-Q"&amp;ROUNDUP(MONTH(C39)/3,0))</f>
        <v/>
      </c>
      <c r="M39">
        <f>IF(B39="M&amp;A",N(H39),N(I39))</f>
        <v/>
      </c>
    </row>
    <row r="40">
      <c r="D40">
        <f>IF(C40="","",YEAR(C40)&amp;"-Q"&amp;ROUNDUP(MONTH(C40)/3,0))</f>
        <v/>
      </c>
      <c r="M40">
        <f>IF(B40="M&amp;A",N(H40),N(I40))</f>
        <v/>
      </c>
    </row>
    <row r="41">
      <c r="D41">
        <f>IF(C41="","",YEAR(C41)&amp;"-Q"&amp;ROUNDUP(MONTH(C41)/3,0))</f>
        <v/>
      </c>
      <c r="M41">
        <f>IF(B41="M&amp;A",N(H41),N(I41))</f>
        <v/>
      </c>
    </row>
    <row r="42">
      <c r="D42">
        <f>IF(C42="","",YEAR(C42)&amp;"-Q"&amp;ROUNDUP(MONTH(C42)/3,0))</f>
        <v/>
      </c>
      <c r="M42">
        <f>IF(B42="M&amp;A",N(H42),N(I42))</f>
        <v/>
      </c>
    </row>
    <row r="43">
      <c r="D43">
        <f>IF(C43="","",YEAR(C43)&amp;"-Q"&amp;ROUNDUP(MONTH(C43)/3,0))</f>
        <v/>
      </c>
      <c r="M43">
        <f>IF(B43="M&amp;A",N(H43),N(I43))</f>
        <v/>
      </c>
    </row>
    <row r="44">
      <c r="D44">
        <f>IF(C44="","",YEAR(C44)&amp;"-Q"&amp;ROUNDUP(MONTH(C44)/3,0))</f>
        <v/>
      </c>
      <c r="M44">
        <f>IF(B44="M&amp;A",N(H44),N(I44))</f>
        <v/>
      </c>
    </row>
    <row r="45">
      <c r="D45">
        <f>IF(C45="","",YEAR(C45)&amp;"-Q"&amp;ROUNDUP(MONTH(C45)/3,0))</f>
        <v/>
      </c>
      <c r="M45">
        <f>IF(B45="M&amp;A",N(H45),N(I45))</f>
        <v/>
      </c>
    </row>
    <row r="46">
      <c r="D46">
        <f>IF(C46="","",YEAR(C46)&amp;"-Q"&amp;ROUNDUP(MONTH(C46)/3,0))</f>
        <v/>
      </c>
      <c r="M46">
        <f>IF(B46="M&amp;A",N(H46),N(I46))</f>
        <v/>
      </c>
    </row>
    <row r="47">
      <c r="D47">
        <f>IF(C47="","",YEAR(C47)&amp;"-Q"&amp;ROUNDUP(MONTH(C47)/3,0))</f>
        <v/>
      </c>
      <c r="M47">
        <f>IF(B47="M&amp;A",N(H47),N(I47))</f>
        <v/>
      </c>
    </row>
    <row r="48">
      <c r="D48">
        <f>IF(C48="","",YEAR(C48)&amp;"-Q"&amp;ROUNDUP(MONTH(C48)/3,0))</f>
        <v/>
      </c>
      <c r="M48">
        <f>IF(B48="M&amp;A",N(H48),N(I48))</f>
        <v/>
      </c>
    </row>
    <row r="49">
      <c r="D49">
        <f>IF(C49="","",YEAR(C49)&amp;"-Q"&amp;ROUNDUP(MONTH(C49)/3,0))</f>
        <v/>
      </c>
      <c r="M49">
        <f>IF(B49="M&amp;A",N(H49),N(I49))</f>
        <v/>
      </c>
    </row>
    <row r="50">
      <c r="D50">
        <f>IF(C50="","",YEAR(C50)&amp;"-Q"&amp;ROUNDUP(MONTH(C50)/3,0))</f>
        <v/>
      </c>
      <c r="M50">
        <f>IF(B50="M&amp;A",N(H50),N(I50))</f>
        <v/>
      </c>
    </row>
    <row r="51">
      <c r="D51">
        <f>IF(C51="","",YEAR(C51)&amp;"-Q"&amp;ROUNDUP(MONTH(C51)/3,0))</f>
        <v/>
      </c>
      <c r="M51">
        <f>IF(B51="M&amp;A",N(H51),N(I51))</f>
        <v/>
      </c>
    </row>
    <row r="52">
      <c r="D52">
        <f>IF(C52="","",YEAR(C52)&amp;"-Q"&amp;ROUNDUP(MONTH(C52)/3,0))</f>
        <v/>
      </c>
      <c r="M52">
        <f>IF(B52="M&amp;A",N(H52),N(I52))</f>
        <v/>
      </c>
    </row>
    <row r="53">
      <c r="D53">
        <f>IF(C53="","",YEAR(C53)&amp;"-Q"&amp;ROUNDUP(MONTH(C53)/3,0))</f>
        <v/>
      </c>
      <c r="M53">
        <f>IF(B53="M&amp;A",N(H53),N(I53))</f>
        <v/>
      </c>
    </row>
    <row r="54">
      <c r="D54">
        <f>IF(C54="","",YEAR(C54)&amp;"-Q"&amp;ROUNDUP(MONTH(C54)/3,0))</f>
        <v/>
      </c>
      <c r="M54">
        <f>IF(B54="M&amp;A",N(H54),N(I54))</f>
        <v/>
      </c>
    </row>
    <row r="55">
      <c r="D55">
        <f>IF(C55="","",YEAR(C55)&amp;"-Q"&amp;ROUNDUP(MONTH(C55)/3,0))</f>
        <v/>
      </c>
      <c r="M55">
        <f>IF(B55="M&amp;A",N(H55),N(I55))</f>
        <v/>
      </c>
    </row>
    <row r="56">
      <c r="D56">
        <f>IF(C56="","",YEAR(C56)&amp;"-Q"&amp;ROUNDUP(MONTH(C56)/3,0))</f>
        <v/>
      </c>
      <c r="M56">
        <f>IF(B56="M&amp;A",N(H56),N(I56))</f>
        <v/>
      </c>
    </row>
    <row r="57">
      <c r="D57">
        <f>IF(C57="","",YEAR(C57)&amp;"-Q"&amp;ROUNDUP(MONTH(C57)/3,0))</f>
        <v/>
      </c>
      <c r="M57">
        <f>IF(B57="M&amp;A",N(H57),N(I57))</f>
        <v/>
      </c>
    </row>
    <row r="58">
      <c r="D58">
        <f>IF(C58="","",YEAR(C58)&amp;"-Q"&amp;ROUNDUP(MONTH(C58)/3,0))</f>
        <v/>
      </c>
      <c r="M58">
        <f>IF(B58="M&amp;A",N(H58),N(I58))</f>
        <v/>
      </c>
    </row>
    <row r="59">
      <c r="D59">
        <f>IF(C59="","",YEAR(C59)&amp;"-Q"&amp;ROUNDUP(MONTH(C59)/3,0))</f>
        <v/>
      </c>
      <c r="M59">
        <f>IF(B59="M&amp;A",N(H59),N(I59))</f>
        <v/>
      </c>
    </row>
    <row r="60">
      <c r="D60">
        <f>IF(C60="","",YEAR(C60)&amp;"-Q"&amp;ROUNDUP(MONTH(C60)/3,0))</f>
        <v/>
      </c>
      <c r="M60">
        <f>IF(B60="M&amp;A",N(H60),N(I60))</f>
        <v/>
      </c>
    </row>
    <row r="61">
      <c r="D61">
        <f>IF(C61="","",YEAR(C61)&amp;"-Q"&amp;ROUNDUP(MONTH(C61)/3,0))</f>
        <v/>
      </c>
      <c r="M61">
        <f>IF(B61="M&amp;A",N(H61),N(I61))</f>
        <v/>
      </c>
    </row>
    <row r="62">
      <c r="D62">
        <f>IF(C62="","",YEAR(C62)&amp;"-Q"&amp;ROUNDUP(MONTH(C62)/3,0))</f>
        <v/>
      </c>
      <c r="M62">
        <f>IF(B62="M&amp;A",N(H62),N(I62))</f>
        <v/>
      </c>
    </row>
    <row r="63">
      <c r="D63">
        <f>IF(C63="","",YEAR(C63)&amp;"-Q"&amp;ROUNDUP(MONTH(C63)/3,0))</f>
        <v/>
      </c>
      <c r="M63">
        <f>IF(B63="M&amp;A",N(H63),N(I63))</f>
        <v/>
      </c>
    </row>
    <row r="64">
      <c r="D64">
        <f>IF(C64="","",YEAR(C64)&amp;"-Q"&amp;ROUNDUP(MONTH(C64)/3,0))</f>
        <v/>
      </c>
      <c r="M64">
        <f>IF(B64="M&amp;A",N(H64),N(I64))</f>
        <v/>
      </c>
    </row>
    <row r="65">
      <c r="D65">
        <f>IF(C65="","",YEAR(C65)&amp;"-Q"&amp;ROUNDUP(MONTH(C65)/3,0))</f>
        <v/>
      </c>
      <c r="M65">
        <f>IF(B65="M&amp;A",N(H65),N(I65))</f>
        <v/>
      </c>
    </row>
    <row r="66">
      <c r="D66">
        <f>IF(C66="","",YEAR(C66)&amp;"-Q"&amp;ROUNDUP(MONTH(C66)/3,0))</f>
        <v/>
      </c>
      <c r="M66">
        <f>IF(B66="M&amp;A",N(H66),N(I66))</f>
        <v/>
      </c>
    </row>
    <row r="67">
      <c r="D67">
        <f>IF(C67="","",YEAR(C67)&amp;"-Q"&amp;ROUNDUP(MONTH(C67)/3,0))</f>
        <v/>
      </c>
      <c r="M67">
        <f>IF(B67="M&amp;A",N(H67),N(I67))</f>
        <v/>
      </c>
    </row>
    <row r="68">
      <c r="D68">
        <f>IF(C68="","",YEAR(C68)&amp;"-Q"&amp;ROUNDUP(MONTH(C68)/3,0))</f>
        <v/>
      </c>
      <c r="M68">
        <f>IF(B68="M&amp;A",N(H68),N(I68))</f>
        <v/>
      </c>
    </row>
    <row r="69">
      <c r="D69">
        <f>IF(C69="","",YEAR(C69)&amp;"-Q"&amp;ROUNDUP(MONTH(C69)/3,0))</f>
        <v/>
      </c>
      <c r="M69">
        <f>IF(B69="M&amp;A",N(H69),N(I69))</f>
        <v/>
      </c>
    </row>
    <row r="70">
      <c r="D70">
        <f>IF(C70="","",YEAR(C70)&amp;"-Q"&amp;ROUNDUP(MONTH(C70)/3,0))</f>
        <v/>
      </c>
      <c r="M70">
        <f>IF(B70="M&amp;A",N(H70),N(I70))</f>
        <v/>
      </c>
    </row>
    <row r="71">
      <c r="D71">
        <f>IF(C71="","",YEAR(C71)&amp;"-Q"&amp;ROUNDUP(MONTH(C71)/3,0))</f>
        <v/>
      </c>
      <c r="M71">
        <f>IF(B71="M&amp;A",N(H71),N(I71))</f>
        <v/>
      </c>
    </row>
    <row r="72">
      <c r="D72">
        <f>IF(C72="","",YEAR(C72)&amp;"-Q"&amp;ROUNDUP(MONTH(C72)/3,0))</f>
        <v/>
      </c>
      <c r="M72">
        <f>IF(B72="M&amp;A",N(H72),N(I72))</f>
        <v/>
      </c>
    </row>
    <row r="73">
      <c r="D73">
        <f>IF(C73="","",YEAR(C73)&amp;"-Q"&amp;ROUNDUP(MONTH(C73)/3,0))</f>
        <v/>
      </c>
      <c r="M73">
        <f>IF(B73="M&amp;A",N(H73),N(I73))</f>
        <v/>
      </c>
    </row>
    <row r="74">
      <c r="D74">
        <f>IF(C74="","",YEAR(C74)&amp;"-Q"&amp;ROUNDUP(MONTH(C74)/3,0))</f>
        <v/>
      </c>
      <c r="M74">
        <f>IF(B74="M&amp;A",N(H74),N(I74))</f>
        <v/>
      </c>
    </row>
    <row r="75">
      <c r="D75">
        <f>IF(C75="","",YEAR(C75)&amp;"-Q"&amp;ROUNDUP(MONTH(C75)/3,0))</f>
        <v/>
      </c>
      <c r="M75">
        <f>IF(B75="M&amp;A",N(H75),N(I75))</f>
        <v/>
      </c>
    </row>
    <row r="76">
      <c r="D76">
        <f>IF(C76="","",YEAR(C76)&amp;"-Q"&amp;ROUNDUP(MONTH(C76)/3,0))</f>
        <v/>
      </c>
      <c r="M76">
        <f>IF(B76="M&amp;A",N(H76),N(I76))</f>
        <v/>
      </c>
    </row>
    <row r="77">
      <c r="D77">
        <f>IF(C77="","",YEAR(C77)&amp;"-Q"&amp;ROUNDUP(MONTH(C77)/3,0))</f>
        <v/>
      </c>
      <c r="M77">
        <f>IF(B77="M&amp;A",N(H77),N(I77))</f>
        <v/>
      </c>
    </row>
    <row r="78">
      <c r="D78">
        <f>IF(C78="","",YEAR(C78)&amp;"-Q"&amp;ROUNDUP(MONTH(C78)/3,0))</f>
        <v/>
      </c>
      <c r="M78">
        <f>IF(B78="M&amp;A",N(H78),N(I78))</f>
        <v/>
      </c>
    </row>
    <row r="79">
      <c r="D79">
        <f>IF(C79="","",YEAR(C79)&amp;"-Q"&amp;ROUNDUP(MONTH(C79)/3,0))</f>
        <v/>
      </c>
      <c r="M79">
        <f>IF(B79="M&amp;A",N(H79),N(I79))</f>
        <v/>
      </c>
    </row>
    <row r="80">
      <c r="D80">
        <f>IF(C80="","",YEAR(C80)&amp;"-Q"&amp;ROUNDUP(MONTH(C80)/3,0))</f>
        <v/>
      </c>
      <c r="M80">
        <f>IF(B80="M&amp;A",N(H80),N(I80))</f>
        <v/>
      </c>
    </row>
    <row r="81">
      <c r="D81">
        <f>IF(C81="","",YEAR(C81)&amp;"-Q"&amp;ROUNDUP(MONTH(C81)/3,0))</f>
        <v/>
      </c>
      <c r="M81">
        <f>IF(B81="M&amp;A",N(H81),N(I81))</f>
        <v/>
      </c>
    </row>
    <row r="82">
      <c r="D82">
        <f>IF(C82="","",YEAR(C82)&amp;"-Q"&amp;ROUNDUP(MONTH(C82)/3,0))</f>
        <v/>
      </c>
      <c r="M82">
        <f>IF(B82="M&amp;A",N(H82),N(I82))</f>
        <v/>
      </c>
    </row>
    <row r="83">
      <c r="D83">
        <f>IF(C83="","",YEAR(C83)&amp;"-Q"&amp;ROUNDUP(MONTH(C83)/3,0))</f>
        <v/>
      </c>
      <c r="M83">
        <f>IF(B83="M&amp;A",N(H83),N(I83))</f>
        <v/>
      </c>
    </row>
    <row r="84">
      <c r="D84">
        <f>IF(C84="","",YEAR(C84)&amp;"-Q"&amp;ROUNDUP(MONTH(C84)/3,0))</f>
        <v/>
      </c>
      <c r="M84">
        <f>IF(B84="M&amp;A",N(H84),N(I84))</f>
        <v/>
      </c>
    </row>
    <row r="85">
      <c r="D85">
        <f>IF(C85="","",YEAR(C85)&amp;"-Q"&amp;ROUNDUP(MONTH(C85)/3,0))</f>
        <v/>
      </c>
      <c r="M85">
        <f>IF(B85="M&amp;A",N(H85),N(I85))</f>
        <v/>
      </c>
    </row>
    <row r="86">
      <c r="D86">
        <f>IF(C86="","",YEAR(C86)&amp;"-Q"&amp;ROUNDUP(MONTH(C86)/3,0))</f>
        <v/>
      </c>
      <c r="M86">
        <f>IF(B86="M&amp;A",N(H86),N(I86))</f>
        <v/>
      </c>
    </row>
    <row r="87">
      <c r="D87">
        <f>IF(C87="","",YEAR(C87)&amp;"-Q"&amp;ROUNDUP(MONTH(C87)/3,0))</f>
        <v/>
      </c>
      <c r="M87">
        <f>IF(B87="M&amp;A",N(H87),N(I87))</f>
        <v/>
      </c>
    </row>
    <row r="88">
      <c r="D88">
        <f>IF(C88="","",YEAR(C88)&amp;"-Q"&amp;ROUNDUP(MONTH(C88)/3,0))</f>
        <v/>
      </c>
      <c r="M88">
        <f>IF(B88="M&amp;A",N(H88),N(I88))</f>
        <v/>
      </c>
    </row>
    <row r="89">
      <c r="D89">
        <f>IF(C89="","",YEAR(C89)&amp;"-Q"&amp;ROUNDUP(MONTH(C89)/3,0))</f>
        <v/>
      </c>
      <c r="M89">
        <f>IF(B89="M&amp;A",N(H89),N(I89))</f>
        <v/>
      </c>
    </row>
    <row r="90">
      <c r="D90">
        <f>IF(C90="","",YEAR(C90)&amp;"-Q"&amp;ROUNDUP(MONTH(C90)/3,0))</f>
        <v/>
      </c>
      <c r="M90">
        <f>IF(B90="M&amp;A",N(H90),N(I90))</f>
        <v/>
      </c>
    </row>
    <row r="91">
      <c r="D91">
        <f>IF(C91="","",YEAR(C91)&amp;"-Q"&amp;ROUNDUP(MONTH(C91)/3,0))</f>
        <v/>
      </c>
      <c r="M91">
        <f>IF(B91="M&amp;A",N(H91),N(I91))</f>
        <v/>
      </c>
    </row>
    <row r="92">
      <c r="D92">
        <f>IF(C92="","",YEAR(C92)&amp;"-Q"&amp;ROUNDUP(MONTH(C92)/3,0))</f>
        <v/>
      </c>
      <c r="M92">
        <f>IF(B92="M&amp;A",N(H92),N(I92))</f>
        <v/>
      </c>
    </row>
    <row r="93">
      <c r="D93">
        <f>IF(C93="","",YEAR(C93)&amp;"-Q"&amp;ROUNDUP(MONTH(C93)/3,0))</f>
        <v/>
      </c>
      <c r="M93">
        <f>IF(B93="M&amp;A",N(H93),N(I93))</f>
        <v/>
      </c>
    </row>
    <row r="94">
      <c r="D94">
        <f>IF(C94="","",YEAR(C94)&amp;"-Q"&amp;ROUNDUP(MONTH(C94)/3,0))</f>
        <v/>
      </c>
      <c r="M94">
        <f>IF(B94="M&amp;A",N(H94),N(I94))</f>
        <v/>
      </c>
    </row>
    <row r="95">
      <c r="D95">
        <f>IF(C95="","",YEAR(C95)&amp;"-Q"&amp;ROUNDUP(MONTH(C95)/3,0))</f>
        <v/>
      </c>
      <c r="M95">
        <f>IF(B95="M&amp;A",N(H95),N(I95))</f>
        <v/>
      </c>
    </row>
    <row r="96">
      <c r="D96">
        <f>IF(C96="","",YEAR(C96)&amp;"-Q"&amp;ROUNDUP(MONTH(C96)/3,0))</f>
        <v/>
      </c>
      <c r="M96">
        <f>IF(B96="M&amp;A",N(H96),N(I96))</f>
        <v/>
      </c>
    </row>
    <row r="97">
      <c r="D97">
        <f>IF(C97="","",YEAR(C97)&amp;"-Q"&amp;ROUNDUP(MONTH(C97)/3,0))</f>
        <v/>
      </c>
      <c r="M97">
        <f>IF(B97="M&amp;A",N(H97),N(I97))</f>
        <v/>
      </c>
    </row>
    <row r="98">
      <c r="D98">
        <f>IF(C98="","",YEAR(C98)&amp;"-Q"&amp;ROUNDUP(MONTH(C98)/3,0))</f>
        <v/>
      </c>
      <c r="M98">
        <f>IF(B98="M&amp;A",N(H98),N(I98))</f>
        <v/>
      </c>
    </row>
    <row r="99">
      <c r="D99">
        <f>IF(C99="","",YEAR(C99)&amp;"-Q"&amp;ROUNDUP(MONTH(C99)/3,0))</f>
        <v/>
      </c>
      <c r="M99">
        <f>IF(B99="M&amp;A",N(H99),N(I99))</f>
        <v/>
      </c>
    </row>
    <row r="100">
      <c r="D100">
        <f>IF(C100="","",YEAR(C100)&amp;"-Q"&amp;ROUNDUP(MONTH(C100)/3,0))</f>
        <v/>
      </c>
      <c r="M100">
        <f>IF(B100="M&amp;A",N(H100),N(I100))</f>
        <v/>
      </c>
    </row>
    <row r="101">
      <c r="D101">
        <f>IF(C101="","",YEAR(C101)&amp;"-Q"&amp;ROUNDUP(MONTH(C101)/3,0))</f>
        <v/>
      </c>
      <c r="M101">
        <f>IF(B101="M&amp;A",N(H101),N(I101))</f>
        <v/>
      </c>
    </row>
    <row r="102">
      <c r="D102">
        <f>IF(C102="","",YEAR(C102)&amp;"-Q"&amp;ROUNDUP(MONTH(C102)/3,0))</f>
        <v/>
      </c>
      <c r="M102">
        <f>IF(B102="M&amp;A",N(H102),N(I102))</f>
        <v/>
      </c>
    </row>
    <row r="103">
      <c r="D103">
        <f>IF(C103="","",YEAR(C103)&amp;"-Q"&amp;ROUNDUP(MONTH(C103)/3,0))</f>
        <v/>
      </c>
      <c r="M103">
        <f>IF(B103="M&amp;A",N(H103),N(I103))</f>
        <v/>
      </c>
    </row>
    <row r="104">
      <c r="D104">
        <f>IF(C104="","",YEAR(C104)&amp;"-Q"&amp;ROUNDUP(MONTH(C104)/3,0))</f>
        <v/>
      </c>
      <c r="M104">
        <f>IF(B104="M&amp;A",N(H104),N(I104))</f>
        <v/>
      </c>
    </row>
    <row r="105">
      <c r="D105">
        <f>IF(C105="","",YEAR(C105)&amp;"-Q"&amp;ROUNDUP(MONTH(C105)/3,0))</f>
        <v/>
      </c>
      <c r="M105">
        <f>IF(B105="M&amp;A",N(H105),N(I105))</f>
        <v/>
      </c>
    </row>
    <row r="106">
      <c r="D106">
        <f>IF(C106="","",YEAR(C106)&amp;"-Q"&amp;ROUNDUP(MONTH(C106)/3,0))</f>
        <v/>
      </c>
      <c r="M106">
        <f>IF(B106="M&amp;A",N(H106),N(I106))</f>
        <v/>
      </c>
    </row>
    <row r="107">
      <c r="D107">
        <f>IF(C107="","",YEAR(C107)&amp;"-Q"&amp;ROUNDUP(MONTH(C107)/3,0))</f>
        <v/>
      </c>
      <c r="M107">
        <f>IF(B107="M&amp;A",N(H107),N(I107))</f>
        <v/>
      </c>
    </row>
    <row r="108">
      <c r="D108">
        <f>IF(C108="","",YEAR(C108)&amp;"-Q"&amp;ROUNDUP(MONTH(C108)/3,0))</f>
        <v/>
      </c>
      <c r="M108">
        <f>IF(B108="M&amp;A",N(H108),N(I108))</f>
        <v/>
      </c>
    </row>
    <row r="109">
      <c r="D109">
        <f>IF(C109="","",YEAR(C109)&amp;"-Q"&amp;ROUNDUP(MONTH(C109)/3,0))</f>
        <v/>
      </c>
      <c r="M109">
        <f>IF(B109="M&amp;A",N(H109),N(I109))</f>
        <v/>
      </c>
    </row>
    <row r="110">
      <c r="D110">
        <f>IF(C110="","",YEAR(C110)&amp;"-Q"&amp;ROUNDUP(MONTH(C110)/3,0))</f>
        <v/>
      </c>
      <c r="M110">
        <f>IF(B110="M&amp;A",N(H110),N(I110))</f>
        <v/>
      </c>
    </row>
    <row r="111">
      <c r="D111">
        <f>IF(C111="","",YEAR(C111)&amp;"-Q"&amp;ROUNDUP(MONTH(C111)/3,0))</f>
        <v/>
      </c>
      <c r="M111">
        <f>IF(B111="M&amp;A",N(H111),N(I111))</f>
        <v/>
      </c>
    </row>
    <row r="112">
      <c r="D112">
        <f>IF(C112="","",YEAR(C112)&amp;"-Q"&amp;ROUNDUP(MONTH(C112)/3,0))</f>
        <v/>
      </c>
      <c r="M112">
        <f>IF(B112="M&amp;A",N(H112),N(I112))</f>
        <v/>
      </c>
    </row>
    <row r="113">
      <c r="D113">
        <f>IF(C113="","",YEAR(C113)&amp;"-Q"&amp;ROUNDUP(MONTH(C113)/3,0))</f>
        <v/>
      </c>
      <c r="M113">
        <f>IF(B113="M&amp;A",N(H113),N(I113))</f>
        <v/>
      </c>
    </row>
    <row r="114">
      <c r="D114">
        <f>IF(C114="","",YEAR(C114)&amp;"-Q"&amp;ROUNDUP(MONTH(C114)/3,0))</f>
        <v/>
      </c>
      <c r="M114">
        <f>IF(B114="M&amp;A",N(H114),N(I114))</f>
        <v/>
      </c>
    </row>
    <row r="115">
      <c r="D115">
        <f>IF(C115="","",YEAR(C115)&amp;"-Q"&amp;ROUNDUP(MONTH(C115)/3,0))</f>
        <v/>
      </c>
      <c r="M115">
        <f>IF(B115="M&amp;A",N(H115),N(I115))</f>
        <v/>
      </c>
    </row>
    <row r="116">
      <c r="D116">
        <f>IF(C116="","",YEAR(C116)&amp;"-Q"&amp;ROUNDUP(MONTH(C116)/3,0))</f>
        <v/>
      </c>
      <c r="M116">
        <f>IF(B116="M&amp;A",N(H116),N(I116))</f>
        <v/>
      </c>
    </row>
    <row r="117">
      <c r="D117">
        <f>IF(C117="","",YEAR(C117)&amp;"-Q"&amp;ROUNDUP(MONTH(C117)/3,0))</f>
        <v/>
      </c>
      <c r="M117">
        <f>IF(B117="M&amp;A",N(H117),N(I117))</f>
        <v/>
      </c>
    </row>
    <row r="118">
      <c r="D118">
        <f>IF(C118="","",YEAR(C118)&amp;"-Q"&amp;ROUNDUP(MONTH(C118)/3,0))</f>
        <v/>
      </c>
      <c r="M118">
        <f>IF(B118="M&amp;A",N(H118),N(I118))</f>
        <v/>
      </c>
    </row>
    <row r="119">
      <c r="D119">
        <f>IF(C119="","",YEAR(C119)&amp;"-Q"&amp;ROUNDUP(MONTH(C119)/3,0))</f>
        <v/>
      </c>
      <c r="M119">
        <f>IF(B119="M&amp;A",N(H119),N(I119))</f>
        <v/>
      </c>
    </row>
    <row r="120">
      <c r="D120">
        <f>IF(C120="","",YEAR(C120)&amp;"-Q"&amp;ROUNDUP(MONTH(C120)/3,0))</f>
        <v/>
      </c>
      <c r="M120">
        <f>IF(B120="M&amp;A",N(H120),N(I120))</f>
        <v/>
      </c>
    </row>
    <row r="121">
      <c r="D121">
        <f>IF(C121="","",YEAR(C121)&amp;"-Q"&amp;ROUNDUP(MONTH(C121)/3,0))</f>
        <v/>
      </c>
      <c r="M121">
        <f>IF(B121="M&amp;A",N(H121),N(I121))</f>
        <v/>
      </c>
    </row>
    <row r="122">
      <c r="D122">
        <f>IF(C122="","",YEAR(C122)&amp;"-Q"&amp;ROUNDUP(MONTH(C122)/3,0))</f>
        <v/>
      </c>
      <c r="M122">
        <f>IF(B122="M&amp;A",N(H122),N(I122))</f>
        <v/>
      </c>
    </row>
    <row r="123">
      <c r="D123">
        <f>IF(C123="","",YEAR(C123)&amp;"-Q"&amp;ROUNDUP(MONTH(C123)/3,0))</f>
        <v/>
      </c>
      <c r="M123">
        <f>IF(B123="M&amp;A",N(H123),N(I123))</f>
        <v/>
      </c>
    </row>
    <row r="124">
      <c r="D124">
        <f>IF(C124="","",YEAR(C124)&amp;"-Q"&amp;ROUNDUP(MONTH(C124)/3,0))</f>
        <v/>
      </c>
      <c r="M124">
        <f>IF(B124="M&amp;A",N(H124),N(I124))</f>
        <v/>
      </c>
    </row>
    <row r="125">
      <c r="D125">
        <f>IF(C125="","",YEAR(C125)&amp;"-Q"&amp;ROUNDUP(MONTH(C125)/3,0))</f>
        <v/>
      </c>
      <c r="M125">
        <f>IF(B125="M&amp;A",N(H125),N(I125))</f>
        <v/>
      </c>
    </row>
    <row r="126">
      <c r="D126">
        <f>IF(C126="","",YEAR(C126)&amp;"-Q"&amp;ROUNDUP(MONTH(C126)/3,0))</f>
        <v/>
      </c>
      <c r="M126">
        <f>IF(B126="M&amp;A",N(H126),N(I126))</f>
        <v/>
      </c>
    </row>
    <row r="127">
      <c r="D127">
        <f>IF(C127="","",YEAR(C127)&amp;"-Q"&amp;ROUNDUP(MONTH(C127)/3,0))</f>
        <v/>
      </c>
      <c r="M127">
        <f>IF(B127="M&amp;A",N(H127),N(I127))</f>
        <v/>
      </c>
    </row>
    <row r="128">
      <c r="D128">
        <f>IF(C128="","",YEAR(C128)&amp;"-Q"&amp;ROUNDUP(MONTH(C128)/3,0))</f>
        <v/>
      </c>
      <c r="M128">
        <f>IF(B128="M&amp;A",N(H128),N(I128))</f>
        <v/>
      </c>
    </row>
    <row r="129">
      <c r="D129">
        <f>IF(C129="","",YEAR(C129)&amp;"-Q"&amp;ROUNDUP(MONTH(C129)/3,0))</f>
        <v/>
      </c>
      <c r="M129">
        <f>IF(B129="M&amp;A",N(H129),N(I129))</f>
        <v/>
      </c>
    </row>
    <row r="130">
      <c r="D130">
        <f>IF(C130="","",YEAR(C130)&amp;"-Q"&amp;ROUNDUP(MONTH(C130)/3,0))</f>
        <v/>
      </c>
      <c r="M130">
        <f>IF(B130="M&amp;A",N(H130),N(I130))</f>
        <v/>
      </c>
    </row>
    <row r="131">
      <c r="D131">
        <f>IF(C131="","",YEAR(C131)&amp;"-Q"&amp;ROUNDUP(MONTH(C131)/3,0))</f>
        <v/>
      </c>
      <c r="M131">
        <f>IF(B131="M&amp;A",N(H131),N(I131))</f>
        <v/>
      </c>
    </row>
    <row r="132">
      <c r="D132">
        <f>IF(C132="","",YEAR(C132)&amp;"-Q"&amp;ROUNDUP(MONTH(C132)/3,0))</f>
        <v/>
      </c>
      <c r="M132">
        <f>IF(B132="M&amp;A",N(H132),N(I132))</f>
        <v/>
      </c>
    </row>
    <row r="133">
      <c r="D133">
        <f>IF(C133="","",YEAR(C133)&amp;"-Q"&amp;ROUNDUP(MONTH(C133)/3,0))</f>
        <v/>
      </c>
      <c r="M133">
        <f>IF(B133="M&amp;A",N(H133),N(I133))</f>
        <v/>
      </c>
    </row>
    <row r="134">
      <c r="D134">
        <f>IF(C134="","",YEAR(C134)&amp;"-Q"&amp;ROUNDUP(MONTH(C134)/3,0))</f>
        <v/>
      </c>
      <c r="M134">
        <f>IF(B134="M&amp;A",N(H134),N(I134))</f>
        <v/>
      </c>
    </row>
    <row r="135">
      <c r="D135">
        <f>IF(C135="","",YEAR(C135)&amp;"-Q"&amp;ROUNDUP(MONTH(C135)/3,0))</f>
        <v/>
      </c>
      <c r="M135">
        <f>IF(B135="M&amp;A",N(H135),N(I135))</f>
        <v/>
      </c>
    </row>
    <row r="136">
      <c r="D136">
        <f>IF(C136="","",YEAR(C136)&amp;"-Q"&amp;ROUNDUP(MONTH(C136)/3,0))</f>
        <v/>
      </c>
      <c r="M136">
        <f>IF(B136="M&amp;A",N(H136),N(I136))</f>
        <v/>
      </c>
    </row>
    <row r="137">
      <c r="D137">
        <f>IF(C137="","",YEAR(C137)&amp;"-Q"&amp;ROUNDUP(MONTH(C137)/3,0))</f>
        <v/>
      </c>
      <c r="M137">
        <f>IF(B137="M&amp;A",N(H137),N(I137))</f>
        <v/>
      </c>
    </row>
    <row r="138">
      <c r="D138">
        <f>IF(C138="","",YEAR(C138)&amp;"-Q"&amp;ROUNDUP(MONTH(C138)/3,0))</f>
        <v/>
      </c>
      <c r="M138">
        <f>IF(B138="M&amp;A",N(H138),N(I138))</f>
        <v/>
      </c>
    </row>
    <row r="139">
      <c r="D139">
        <f>IF(C139="","",YEAR(C139)&amp;"-Q"&amp;ROUNDUP(MONTH(C139)/3,0))</f>
        <v/>
      </c>
      <c r="M139">
        <f>IF(B139="M&amp;A",N(H139),N(I139))</f>
        <v/>
      </c>
    </row>
    <row r="140">
      <c r="D140">
        <f>IF(C140="","",YEAR(C140)&amp;"-Q"&amp;ROUNDUP(MONTH(C140)/3,0))</f>
        <v/>
      </c>
      <c r="M140">
        <f>IF(B140="M&amp;A",N(H140),N(I140))</f>
        <v/>
      </c>
    </row>
    <row r="141">
      <c r="D141">
        <f>IF(C141="","",YEAR(C141)&amp;"-Q"&amp;ROUNDUP(MONTH(C141)/3,0))</f>
        <v/>
      </c>
      <c r="M141">
        <f>IF(B141="M&amp;A",N(H141),N(I141))</f>
        <v/>
      </c>
    </row>
    <row r="142">
      <c r="D142">
        <f>IF(C142="","",YEAR(C142)&amp;"-Q"&amp;ROUNDUP(MONTH(C142)/3,0))</f>
        <v/>
      </c>
      <c r="M142">
        <f>IF(B142="M&amp;A",N(H142),N(I142))</f>
        <v/>
      </c>
    </row>
    <row r="143">
      <c r="D143">
        <f>IF(C143="","",YEAR(C143)&amp;"-Q"&amp;ROUNDUP(MONTH(C143)/3,0))</f>
        <v/>
      </c>
      <c r="M143">
        <f>IF(B143="M&amp;A",N(H143),N(I143))</f>
        <v/>
      </c>
    </row>
    <row r="144">
      <c r="D144">
        <f>IF(C144="","",YEAR(C144)&amp;"-Q"&amp;ROUNDUP(MONTH(C144)/3,0))</f>
        <v/>
      </c>
      <c r="M144">
        <f>IF(B144="M&amp;A",N(H144),N(I144))</f>
        <v/>
      </c>
    </row>
    <row r="145">
      <c r="D145">
        <f>IF(C145="","",YEAR(C145)&amp;"-Q"&amp;ROUNDUP(MONTH(C145)/3,0))</f>
        <v/>
      </c>
      <c r="M145">
        <f>IF(B145="M&amp;A",N(H145),N(I145))</f>
        <v/>
      </c>
    </row>
    <row r="146">
      <c r="D146">
        <f>IF(C146="","",YEAR(C146)&amp;"-Q"&amp;ROUNDUP(MONTH(C146)/3,0))</f>
        <v/>
      </c>
      <c r="M146">
        <f>IF(B146="M&amp;A",N(H146),N(I146))</f>
        <v/>
      </c>
    </row>
    <row r="147">
      <c r="D147">
        <f>IF(C147="","",YEAR(C147)&amp;"-Q"&amp;ROUNDUP(MONTH(C147)/3,0))</f>
        <v/>
      </c>
      <c r="M147">
        <f>IF(B147="M&amp;A",N(H147),N(I147))</f>
        <v/>
      </c>
    </row>
    <row r="148">
      <c r="D148">
        <f>IF(C148="","",YEAR(C148)&amp;"-Q"&amp;ROUNDUP(MONTH(C148)/3,0))</f>
        <v/>
      </c>
      <c r="M148">
        <f>IF(B148="M&amp;A",N(H148),N(I148))</f>
        <v/>
      </c>
    </row>
    <row r="149">
      <c r="D149">
        <f>IF(C149="","",YEAR(C149)&amp;"-Q"&amp;ROUNDUP(MONTH(C149)/3,0))</f>
        <v/>
      </c>
      <c r="M149">
        <f>IF(B149="M&amp;A",N(H149),N(I149))</f>
        <v/>
      </c>
    </row>
    <row r="150">
      <c r="D150">
        <f>IF(C150="","",YEAR(C150)&amp;"-Q"&amp;ROUNDUP(MONTH(C150)/3,0))</f>
        <v/>
      </c>
      <c r="M150">
        <f>IF(B150="M&amp;A",N(H150),N(I150))</f>
        <v/>
      </c>
    </row>
    <row r="151">
      <c r="D151">
        <f>IF(C151="","",YEAR(C151)&amp;"-Q"&amp;ROUNDUP(MONTH(C151)/3,0))</f>
        <v/>
      </c>
      <c r="M151">
        <f>IF(B151="M&amp;A",N(H151),N(I151))</f>
        <v/>
      </c>
    </row>
    <row r="152">
      <c r="D152">
        <f>IF(C152="","",YEAR(C152)&amp;"-Q"&amp;ROUNDUP(MONTH(C152)/3,0))</f>
        <v/>
      </c>
      <c r="M152">
        <f>IF(B152="M&amp;A",N(H152),N(I152))</f>
        <v/>
      </c>
    </row>
    <row r="153">
      <c r="D153">
        <f>IF(C153="","",YEAR(C153)&amp;"-Q"&amp;ROUNDUP(MONTH(C153)/3,0))</f>
        <v/>
      </c>
      <c r="M153">
        <f>IF(B153="M&amp;A",N(H153),N(I153))</f>
        <v/>
      </c>
    </row>
    <row r="154">
      <c r="D154">
        <f>IF(C154="","",YEAR(C154)&amp;"-Q"&amp;ROUNDUP(MONTH(C154)/3,0))</f>
        <v/>
      </c>
      <c r="M154">
        <f>IF(B154="M&amp;A",N(H154),N(I154))</f>
        <v/>
      </c>
    </row>
    <row r="155">
      <c r="D155">
        <f>IF(C155="","",YEAR(C155)&amp;"-Q"&amp;ROUNDUP(MONTH(C155)/3,0))</f>
        <v/>
      </c>
      <c r="M155">
        <f>IF(B155="M&amp;A",N(H155),N(I155))</f>
        <v/>
      </c>
    </row>
    <row r="156">
      <c r="D156">
        <f>IF(C156="","",YEAR(C156)&amp;"-Q"&amp;ROUNDUP(MONTH(C156)/3,0))</f>
        <v/>
      </c>
      <c r="M156">
        <f>IF(B156="M&amp;A",N(H156),N(I156))</f>
        <v/>
      </c>
    </row>
    <row r="157">
      <c r="D157">
        <f>IF(C157="","",YEAR(C157)&amp;"-Q"&amp;ROUNDUP(MONTH(C157)/3,0))</f>
        <v/>
      </c>
      <c r="M157">
        <f>IF(B157="M&amp;A",N(H157),N(I157))</f>
        <v/>
      </c>
    </row>
    <row r="158">
      <c r="D158">
        <f>IF(C158="","",YEAR(C158)&amp;"-Q"&amp;ROUNDUP(MONTH(C158)/3,0))</f>
        <v/>
      </c>
      <c r="M158">
        <f>IF(B158="M&amp;A",N(H158),N(I158))</f>
        <v/>
      </c>
    </row>
    <row r="159">
      <c r="D159">
        <f>IF(C159="","",YEAR(C159)&amp;"-Q"&amp;ROUNDUP(MONTH(C159)/3,0))</f>
        <v/>
      </c>
      <c r="M159">
        <f>IF(B159="M&amp;A",N(H159),N(I159))</f>
        <v/>
      </c>
    </row>
    <row r="160">
      <c r="D160">
        <f>IF(C160="","",YEAR(C160)&amp;"-Q"&amp;ROUNDUP(MONTH(C160)/3,0))</f>
        <v/>
      </c>
      <c r="M160">
        <f>IF(B160="M&amp;A",N(H160),N(I160))</f>
        <v/>
      </c>
    </row>
    <row r="161">
      <c r="D161">
        <f>IF(C161="","",YEAR(C161)&amp;"-Q"&amp;ROUNDUP(MONTH(C161)/3,0))</f>
        <v/>
      </c>
      <c r="M161">
        <f>IF(B161="M&amp;A",N(H161),N(I161))</f>
        <v/>
      </c>
    </row>
    <row r="162">
      <c r="D162">
        <f>IF(C162="","",YEAR(C162)&amp;"-Q"&amp;ROUNDUP(MONTH(C162)/3,0))</f>
        <v/>
      </c>
      <c r="M162">
        <f>IF(B162="M&amp;A",N(H162),N(I162))</f>
        <v/>
      </c>
    </row>
    <row r="163">
      <c r="D163">
        <f>IF(C163="","",YEAR(C163)&amp;"-Q"&amp;ROUNDUP(MONTH(C163)/3,0))</f>
        <v/>
      </c>
      <c r="M163">
        <f>IF(B163="M&amp;A",N(H163),N(I163))</f>
        <v/>
      </c>
    </row>
    <row r="164">
      <c r="D164">
        <f>IF(C164="","",YEAR(C164)&amp;"-Q"&amp;ROUNDUP(MONTH(C164)/3,0))</f>
        <v/>
      </c>
      <c r="M164">
        <f>IF(B164="M&amp;A",N(H164),N(I164))</f>
        <v/>
      </c>
    </row>
    <row r="165">
      <c r="D165">
        <f>IF(C165="","",YEAR(C165)&amp;"-Q"&amp;ROUNDUP(MONTH(C165)/3,0))</f>
        <v/>
      </c>
      <c r="M165">
        <f>IF(B165="M&amp;A",N(H165),N(I165))</f>
        <v/>
      </c>
    </row>
    <row r="166">
      <c r="D166">
        <f>IF(C166="","",YEAR(C166)&amp;"-Q"&amp;ROUNDUP(MONTH(C166)/3,0))</f>
        <v/>
      </c>
      <c r="M166">
        <f>IF(B166="M&amp;A",N(H166),N(I166))</f>
        <v/>
      </c>
    </row>
    <row r="167">
      <c r="D167">
        <f>IF(C167="","",YEAR(C167)&amp;"-Q"&amp;ROUNDUP(MONTH(C167)/3,0))</f>
        <v/>
      </c>
      <c r="M167">
        <f>IF(B167="M&amp;A",N(H167),N(I167))</f>
        <v/>
      </c>
    </row>
    <row r="168">
      <c r="D168">
        <f>IF(C168="","",YEAR(C168)&amp;"-Q"&amp;ROUNDUP(MONTH(C168)/3,0))</f>
        <v/>
      </c>
      <c r="M168">
        <f>IF(B168="M&amp;A",N(H168),N(I168))</f>
        <v/>
      </c>
    </row>
    <row r="169">
      <c r="D169">
        <f>IF(C169="","",YEAR(C169)&amp;"-Q"&amp;ROUNDUP(MONTH(C169)/3,0))</f>
        <v/>
      </c>
      <c r="M169">
        <f>IF(B169="M&amp;A",N(H169),N(I169))</f>
        <v/>
      </c>
    </row>
    <row r="170">
      <c r="D170">
        <f>IF(C170="","",YEAR(C170)&amp;"-Q"&amp;ROUNDUP(MONTH(C170)/3,0))</f>
        <v/>
      </c>
      <c r="M170">
        <f>IF(B170="M&amp;A",N(H170),N(I170))</f>
        <v/>
      </c>
    </row>
    <row r="171">
      <c r="D171">
        <f>IF(C171="","",YEAR(C171)&amp;"-Q"&amp;ROUNDUP(MONTH(C171)/3,0))</f>
        <v/>
      </c>
      <c r="M171">
        <f>IF(B171="M&amp;A",N(H171),N(I171))</f>
        <v/>
      </c>
    </row>
    <row r="172">
      <c r="D172">
        <f>IF(C172="","",YEAR(C172)&amp;"-Q"&amp;ROUNDUP(MONTH(C172)/3,0))</f>
        <v/>
      </c>
      <c r="M172">
        <f>IF(B172="M&amp;A",N(H172),N(I172))</f>
        <v/>
      </c>
    </row>
    <row r="173">
      <c r="D173">
        <f>IF(C173="","",YEAR(C173)&amp;"-Q"&amp;ROUNDUP(MONTH(C173)/3,0))</f>
        <v/>
      </c>
      <c r="M173">
        <f>IF(B173="M&amp;A",N(H173),N(I173))</f>
        <v/>
      </c>
    </row>
    <row r="174">
      <c r="D174">
        <f>IF(C174="","",YEAR(C174)&amp;"-Q"&amp;ROUNDUP(MONTH(C174)/3,0))</f>
        <v/>
      </c>
      <c r="M174">
        <f>IF(B174="M&amp;A",N(H174),N(I174))</f>
        <v/>
      </c>
    </row>
    <row r="175">
      <c r="D175">
        <f>IF(C175="","",YEAR(C175)&amp;"-Q"&amp;ROUNDUP(MONTH(C175)/3,0))</f>
        <v/>
      </c>
      <c r="M175">
        <f>IF(B175="M&amp;A",N(H175),N(I175))</f>
        <v/>
      </c>
    </row>
    <row r="176">
      <c r="D176">
        <f>IF(C176="","",YEAR(C176)&amp;"-Q"&amp;ROUNDUP(MONTH(C176)/3,0))</f>
        <v/>
      </c>
      <c r="M176">
        <f>IF(B176="M&amp;A",N(H176),N(I176))</f>
        <v/>
      </c>
    </row>
    <row r="177">
      <c r="D177">
        <f>IF(C177="","",YEAR(C177)&amp;"-Q"&amp;ROUNDUP(MONTH(C177)/3,0))</f>
        <v/>
      </c>
      <c r="M177">
        <f>IF(B177="M&amp;A",N(H177),N(I177))</f>
        <v/>
      </c>
    </row>
    <row r="178">
      <c r="D178">
        <f>IF(C178="","",YEAR(C178)&amp;"-Q"&amp;ROUNDUP(MONTH(C178)/3,0))</f>
        <v/>
      </c>
      <c r="M178">
        <f>IF(B178="M&amp;A",N(H178),N(I178))</f>
        <v/>
      </c>
    </row>
    <row r="179">
      <c r="D179">
        <f>IF(C179="","",YEAR(C179)&amp;"-Q"&amp;ROUNDUP(MONTH(C179)/3,0))</f>
        <v/>
      </c>
      <c r="M179">
        <f>IF(B179="M&amp;A",N(H179),N(I179))</f>
        <v/>
      </c>
    </row>
    <row r="180">
      <c r="D180">
        <f>IF(C180="","",YEAR(C180)&amp;"-Q"&amp;ROUNDUP(MONTH(C180)/3,0))</f>
        <v/>
      </c>
      <c r="M180">
        <f>IF(B180="M&amp;A",N(H180),N(I180))</f>
        <v/>
      </c>
    </row>
    <row r="181">
      <c r="D181">
        <f>IF(C181="","",YEAR(C181)&amp;"-Q"&amp;ROUNDUP(MONTH(C181)/3,0))</f>
        <v/>
      </c>
      <c r="M181">
        <f>IF(B181="M&amp;A",N(H181),N(I181))</f>
        <v/>
      </c>
    </row>
    <row r="182">
      <c r="D182">
        <f>IF(C182="","",YEAR(C182)&amp;"-Q"&amp;ROUNDUP(MONTH(C182)/3,0))</f>
        <v/>
      </c>
      <c r="M182">
        <f>IF(B182="M&amp;A",N(H182),N(I182))</f>
        <v/>
      </c>
    </row>
    <row r="183">
      <c r="D183">
        <f>IF(C183="","",YEAR(C183)&amp;"-Q"&amp;ROUNDUP(MONTH(C183)/3,0))</f>
        <v/>
      </c>
      <c r="M183">
        <f>IF(B183="M&amp;A",N(H183),N(I183))</f>
        <v/>
      </c>
    </row>
    <row r="184">
      <c r="D184">
        <f>IF(C184="","",YEAR(C184)&amp;"-Q"&amp;ROUNDUP(MONTH(C184)/3,0))</f>
        <v/>
      </c>
      <c r="M184">
        <f>IF(B184="M&amp;A",N(H184),N(I184))</f>
        <v/>
      </c>
    </row>
    <row r="185">
      <c r="D185">
        <f>IF(C185="","",YEAR(C185)&amp;"-Q"&amp;ROUNDUP(MONTH(C185)/3,0))</f>
        <v/>
      </c>
      <c r="M185">
        <f>IF(B185="M&amp;A",N(H185),N(I185))</f>
        <v/>
      </c>
    </row>
    <row r="186">
      <c r="D186">
        <f>IF(C186="","",YEAR(C186)&amp;"-Q"&amp;ROUNDUP(MONTH(C186)/3,0))</f>
        <v/>
      </c>
      <c r="M186">
        <f>IF(B186="M&amp;A",N(H186),N(I186))</f>
        <v/>
      </c>
    </row>
    <row r="187">
      <c r="D187">
        <f>IF(C187="","",YEAR(C187)&amp;"-Q"&amp;ROUNDUP(MONTH(C187)/3,0))</f>
        <v/>
      </c>
      <c r="M187">
        <f>IF(B187="M&amp;A",N(H187),N(I187))</f>
        <v/>
      </c>
    </row>
    <row r="188">
      <c r="D188">
        <f>IF(C188="","",YEAR(C188)&amp;"-Q"&amp;ROUNDUP(MONTH(C188)/3,0))</f>
        <v/>
      </c>
      <c r="M188">
        <f>IF(B188="M&amp;A",N(H188),N(I188))</f>
        <v/>
      </c>
    </row>
    <row r="189">
      <c r="D189">
        <f>IF(C189="","",YEAR(C189)&amp;"-Q"&amp;ROUNDUP(MONTH(C189)/3,0))</f>
        <v/>
      </c>
      <c r="M189">
        <f>IF(B189="M&amp;A",N(H189),N(I189))</f>
        <v/>
      </c>
    </row>
    <row r="190">
      <c r="D190">
        <f>IF(C190="","",YEAR(C190)&amp;"-Q"&amp;ROUNDUP(MONTH(C190)/3,0))</f>
        <v/>
      </c>
      <c r="M190">
        <f>IF(B190="M&amp;A",N(H190),N(I190))</f>
        <v/>
      </c>
    </row>
    <row r="191">
      <c r="D191">
        <f>IF(C191="","",YEAR(C191)&amp;"-Q"&amp;ROUNDUP(MONTH(C191)/3,0))</f>
        <v/>
      </c>
      <c r="M191">
        <f>IF(B191="M&amp;A",N(H191),N(I191))</f>
        <v/>
      </c>
    </row>
    <row r="192">
      <c r="D192">
        <f>IF(C192="","",YEAR(C192)&amp;"-Q"&amp;ROUNDUP(MONTH(C192)/3,0))</f>
        <v/>
      </c>
      <c r="M192">
        <f>IF(B192="M&amp;A",N(H192),N(I192))</f>
        <v/>
      </c>
    </row>
    <row r="193">
      <c r="D193">
        <f>IF(C193="","",YEAR(C193)&amp;"-Q"&amp;ROUNDUP(MONTH(C193)/3,0))</f>
        <v/>
      </c>
      <c r="M193">
        <f>IF(B193="M&amp;A",N(H193),N(I193))</f>
        <v/>
      </c>
    </row>
    <row r="194">
      <c r="D194">
        <f>IF(C194="","",YEAR(C194)&amp;"-Q"&amp;ROUNDUP(MONTH(C194)/3,0))</f>
        <v/>
      </c>
      <c r="M194">
        <f>IF(B194="M&amp;A",N(H194),N(I194))</f>
        <v/>
      </c>
    </row>
    <row r="195">
      <c r="D195">
        <f>IF(C195="","",YEAR(C195)&amp;"-Q"&amp;ROUNDUP(MONTH(C195)/3,0))</f>
        <v/>
      </c>
      <c r="M195">
        <f>IF(B195="M&amp;A",N(H195),N(I195))</f>
        <v/>
      </c>
    </row>
    <row r="196">
      <c r="D196">
        <f>IF(C196="","",YEAR(C196)&amp;"-Q"&amp;ROUNDUP(MONTH(C196)/3,0))</f>
        <v/>
      </c>
      <c r="M196">
        <f>IF(B196="M&amp;A",N(H196),N(I196))</f>
        <v/>
      </c>
    </row>
    <row r="197">
      <c r="D197">
        <f>IF(C197="","",YEAR(C197)&amp;"-Q"&amp;ROUNDUP(MONTH(C197)/3,0))</f>
        <v/>
      </c>
      <c r="M197">
        <f>IF(B197="M&amp;A",N(H197),N(I197))</f>
        <v/>
      </c>
    </row>
    <row r="198">
      <c r="D198">
        <f>IF(C198="","",YEAR(C198)&amp;"-Q"&amp;ROUNDUP(MONTH(C198)/3,0))</f>
        <v/>
      </c>
      <c r="M198">
        <f>IF(B198="M&amp;A",N(H198),N(I198))</f>
        <v/>
      </c>
    </row>
    <row r="199">
      <c r="D199">
        <f>IF(C199="","",YEAR(C199)&amp;"-Q"&amp;ROUNDUP(MONTH(C199)/3,0))</f>
        <v/>
      </c>
      <c r="M199">
        <f>IF(B199="M&amp;A",N(H199),N(I199))</f>
        <v/>
      </c>
    </row>
    <row r="200">
      <c r="D200">
        <f>IF(C200="","",YEAR(C200)&amp;"-Q"&amp;ROUNDUP(MONTH(C200)/3,0))</f>
        <v/>
      </c>
      <c r="M200">
        <f>IF(B200="M&amp;A",N(H200),N(I200))</f>
        <v/>
      </c>
    </row>
    <row r="201">
      <c r="D201">
        <f>IF(C201="","",YEAR(C201)&amp;"-Q"&amp;ROUNDUP(MONTH(C201)/3,0))</f>
        <v/>
      </c>
      <c r="M201">
        <f>IF(B201="M&amp;A",N(H201),N(I201))</f>
        <v/>
      </c>
    </row>
    <row r="202">
      <c r="D202">
        <f>IF(C202="","",YEAR(C202)&amp;"-Q"&amp;ROUNDUP(MONTH(C202)/3,0))</f>
        <v/>
      </c>
      <c r="M202">
        <f>IF(B202="M&amp;A",N(H202),N(I202))</f>
        <v/>
      </c>
    </row>
    <row r="203">
      <c r="D203">
        <f>IF(C203="","",YEAR(C203)&amp;"-Q"&amp;ROUNDUP(MONTH(C203)/3,0))</f>
        <v/>
      </c>
      <c r="M203">
        <f>IF(B203="M&amp;A",N(H203),N(I203))</f>
        <v/>
      </c>
    </row>
    <row r="204">
      <c r="D204">
        <f>IF(C204="","",YEAR(C204)&amp;"-Q"&amp;ROUNDUP(MONTH(C204)/3,0))</f>
        <v/>
      </c>
      <c r="M204">
        <f>IF(B204="M&amp;A",N(H204),N(I204))</f>
        <v/>
      </c>
    </row>
    <row r="205">
      <c r="D205">
        <f>IF(C205="","",YEAR(C205)&amp;"-Q"&amp;ROUNDUP(MONTH(C205)/3,0))</f>
        <v/>
      </c>
      <c r="M205">
        <f>IF(B205="M&amp;A",N(H205),N(I205))</f>
        <v/>
      </c>
    </row>
    <row r="206">
      <c r="D206">
        <f>IF(C206="","",YEAR(C206)&amp;"-Q"&amp;ROUNDUP(MONTH(C206)/3,0))</f>
        <v/>
      </c>
      <c r="M206">
        <f>IF(B206="M&amp;A",N(H206),N(I206))</f>
        <v/>
      </c>
    </row>
    <row r="207">
      <c r="D207">
        <f>IF(C207="","",YEAR(C207)&amp;"-Q"&amp;ROUNDUP(MONTH(C207)/3,0))</f>
        <v/>
      </c>
      <c r="M207">
        <f>IF(B207="M&amp;A",N(H207),N(I207))</f>
        <v/>
      </c>
    </row>
    <row r="208">
      <c r="D208">
        <f>IF(C208="","",YEAR(C208)&amp;"-Q"&amp;ROUNDUP(MONTH(C208)/3,0))</f>
        <v/>
      </c>
      <c r="M208">
        <f>IF(B208="M&amp;A",N(H208),N(I208))</f>
        <v/>
      </c>
    </row>
    <row r="209">
      <c r="D209">
        <f>IF(C209="","",YEAR(C209)&amp;"-Q"&amp;ROUNDUP(MONTH(C209)/3,0))</f>
        <v/>
      </c>
      <c r="M209">
        <f>IF(B209="M&amp;A",N(H209),N(I209))</f>
        <v/>
      </c>
    </row>
    <row r="210">
      <c r="D210">
        <f>IF(C210="","",YEAR(C210)&amp;"-Q"&amp;ROUNDUP(MONTH(C210)/3,0))</f>
        <v/>
      </c>
      <c r="M210">
        <f>IF(B210="M&amp;A",N(H210),N(I210))</f>
        <v/>
      </c>
    </row>
    <row r="211">
      <c r="D211">
        <f>IF(C211="","",YEAR(C211)&amp;"-Q"&amp;ROUNDUP(MONTH(C211)/3,0))</f>
        <v/>
      </c>
      <c r="M211">
        <f>IF(B211="M&amp;A",N(H211),N(I211))</f>
        <v/>
      </c>
    </row>
    <row r="212">
      <c r="D212">
        <f>IF(C212="","",YEAR(C212)&amp;"-Q"&amp;ROUNDUP(MONTH(C212)/3,0))</f>
        <v/>
      </c>
      <c r="M212">
        <f>IF(B212="M&amp;A",N(H212),N(I212))</f>
        <v/>
      </c>
    </row>
    <row r="213">
      <c r="D213">
        <f>IF(C213="","",YEAR(C213)&amp;"-Q"&amp;ROUNDUP(MONTH(C213)/3,0))</f>
        <v/>
      </c>
      <c r="M213">
        <f>IF(B213="M&amp;A",N(H213),N(I213))</f>
        <v/>
      </c>
    </row>
    <row r="214">
      <c r="D214">
        <f>IF(C214="","",YEAR(C214)&amp;"-Q"&amp;ROUNDUP(MONTH(C214)/3,0))</f>
        <v/>
      </c>
      <c r="M214">
        <f>IF(B214="M&amp;A",N(H214),N(I214))</f>
        <v/>
      </c>
    </row>
    <row r="215">
      <c r="D215">
        <f>IF(C215="","",YEAR(C215)&amp;"-Q"&amp;ROUNDUP(MONTH(C215)/3,0))</f>
        <v/>
      </c>
      <c r="M215">
        <f>IF(B215="M&amp;A",N(H215),N(I215))</f>
        <v/>
      </c>
    </row>
    <row r="216">
      <c r="D216">
        <f>IF(C216="","",YEAR(C216)&amp;"-Q"&amp;ROUNDUP(MONTH(C216)/3,0))</f>
        <v/>
      </c>
      <c r="M216">
        <f>IF(B216="M&amp;A",N(H216),N(I216))</f>
        <v/>
      </c>
    </row>
    <row r="217">
      <c r="D217">
        <f>IF(C217="","",YEAR(C217)&amp;"-Q"&amp;ROUNDUP(MONTH(C217)/3,0))</f>
        <v/>
      </c>
      <c r="M217">
        <f>IF(B217="M&amp;A",N(H217),N(I217))</f>
        <v/>
      </c>
    </row>
    <row r="218">
      <c r="D218">
        <f>IF(C218="","",YEAR(C218)&amp;"-Q"&amp;ROUNDUP(MONTH(C218)/3,0))</f>
        <v/>
      </c>
      <c r="M218">
        <f>IF(B218="M&amp;A",N(H218),N(I218))</f>
        <v/>
      </c>
    </row>
    <row r="219">
      <c r="D219">
        <f>IF(C219="","",YEAR(C219)&amp;"-Q"&amp;ROUNDUP(MONTH(C219)/3,0))</f>
        <v/>
      </c>
      <c r="M219">
        <f>IF(B219="M&amp;A",N(H219),N(I219))</f>
        <v/>
      </c>
    </row>
    <row r="220">
      <c r="D220">
        <f>IF(C220="","",YEAR(C220)&amp;"-Q"&amp;ROUNDUP(MONTH(C220)/3,0))</f>
        <v/>
      </c>
      <c r="M220">
        <f>IF(B220="M&amp;A",N(H220),N(I220))</f>
        <v/>
      </c>
    </row>
    <row r="221">
      <c r="D221">
        <f>IF(C221="","",YEAR(C221)&amp;"-Q"&amp;ROUNDUP(MONTH(C221)/3,0))</f>
        <v/>
      </c>
      <c r="M221">
        <f>IF(B221="M&amp;A",N(H221),N(I221))</f>
        <v/>
      </c>
    </row>
    <row r="222">
      <c r="D222">
        <f>IF(C222="","",YEAR(C222)&amp;"-Q"&amp;ROUNDUP(MONTH(C222)/3,0))</f>
        <v/>
      </c>
      <c r="M222">
        <f>IF(B222="M&amp;A",N(H222),N(I222))</f>
        <v/>
      </c>
    </row>
    <row r="223">
      <c r="D223">
        <f>IF(C223="","",YEAR(C223)&amp;"-Q"&amp;ROUNDUP(MONTH(C223)/3,0))</f>
        <v/>
      </c>
      <c r="M223">
        <f>IF(B223="M&amp;A",N(H223),N(I223))</f>
        <v/>
      </c>
    </row>
    <row r="224">
      <c r="D224">
        <f>IF(C224="","",YEAR(C224)&amp;"-Q"&amp;ROUNDUP(MONTH(C224)/3,0))</f>
        <v/>
      </c>
      <c r="M224">
        <f>IF(B224="M&amp;A",N(H224),N(I224))</f>
        <v/>
      </c>
    </row>
    <row r="225">
      <c r="D225">
        <f>IF(C225="","",YEAR(C225)&amp;"-Q"&amp;ROUNDUP(MONTH(C225)/3,0))</f>
        <v/>
      </c>
      <c r="M225">
        <f>IF(B225="M&amp;A",N(H225),N(I225))</f>
        <v/>
      </c>
    </row>
    <row r="226">
      <c r="D226">
        <f>IF(C226="","",YEAR(C226)&amp;"-Q"&amp;ROUNDUP(MONTH(C226)/3,0))</f>
        <v/>
      </c>
      <c r="M226">
        <f>IF(B226="M&amp;A",N(H226),N(I226))</f>
        <v/>
      </c>
    </row>
    <row r="227">
      <c r="D227">
        <f>IF(C227="","",YEAR(C227)&amp;"-Q"&amp;ROUNDUP(MONTH(C227)/3,0))</f>
        <v/>
      </c>
      <c r="M227">
        <f>IF(B227="M&amp;A",N(H227),N(I227))</f>
        <v/>
      </c>
    </row>
    <row r="228">
      <c r="D228">
        <f>IF(C228="","",YEAR(C228)&amp;"-Q"&amp;ROUNDUP(MONTH(C228)/3,0))</f>
        <v/>
      </c>
      <c r="M228">
        <f>IF(B228="M&amp;A",N(H228),N(I228))</f>
        <v/>
      </c>
    </row>
    <row r="229">
      <c r="D229">
        <f>IF(C229="","",YEAR(C229)&amp;"-Q"&amp;ROUNDUP(MONTH(C229)/3,0))</f>
        <v/>
      </c>
      <c r="M229">
        <f>IF(B229="M&amp;A",N(H229),N(I229))</f>
        <v/>
      </c>
    </row>
    <row r="230">
      <c r="D230">
        <f>IF(C230="","",YEAR(C230)&amp;"-Q"&amp;ROUNDUP(MONTH(C230)/3,0))</f>
        <v/>
      </c>
      <c r="M230">
        <f>IF(B230="M&amp;A",N(H230),N(I230))</f>
        <v/>
      </c>
    </row>
    <row r="231">
      <c r="D231">
        <f>IF(C231="","",YEAR(C231)&amp;"-Q"&amp;ROUNDUP(MONTH(C231)/3,0))</f>
        <v/>
      </c>
      <c r="M231">
        <f>IF(B231="M&amp;A",N(H231),N(I231))</f>
        <v/>
      </c>
    </row>
    <row r="232">
      <c r="D232">
        <f>IF(C232="","",YEAR(C232)&amp;"-Q"&amp;ROUNDUP(MONTH(C232)/3,0))</f>
        <v/>
      </c>
      <c r="M232">
        <f>IF(B232="M&amp;A",N(H232),N(I232))</f>
        <v/>
      </c>
    </row>
    <row r="233">
      <c r="D233">
        <f>IF(C233="","",YEAR(C233)&amp;"-Q"&amp;ROUNDUP(MONTH(C233)/3,0))</f>
        <v/>
      </c>
      <c r="M233">
        <f>IF(B233="M&amp;A",N(H233),N(I233))</f>
        <v/>
      </c>
    </row>
    <row r="234">
      <c r="D234">
        <f>IF(C234="","",YEAR(C234)&amp;"-Q"&amp;ROUNDUP(MONTH(C234)/3,0))</f>
        <v/>
      </c>
      <c r="M234">
        <f>IF(B234="M&amp;A",N(H234),N(I234))</f>
        <v/>
      </c>
    </row>
    <row r="235">
      <c r="D235">
        <f>IF(C235="","",YEAR(C235)&amp;"-Q"&amp;ROUNDUP(MONTH(C235)/3,0))</f>
        <v/>
      </c>
      <c r="M235">
        <f>IF(B235="M&amp;A",N(H235),N(I235))</f>
        <v/>
      </c>
    </row>
    <row r="236">
      <c r="D236">
        <f>IF(C236="","",YEAR(C236)&amp;"-Q"&amp;ROUNDUP(MONTH(C236)/3,0))</f>
        <v/>
      </c>
      <c r="M236">
        <f>IF(B236="M&amp;A",N(H236),N(I236))</f>
        <v/>
      </c>
    </row>
    <row r="237">
      <c r="D237">
        <f>IF(C237="","",YEAR(C237)&amp;"-Q"&amp;ROUNDUP(MONTH(C237)/3,0))</f>
        <v/>
      </c>
      <c r="M237">
        <f>IF(B237="M&amp;A",N(H237),N(I237))</f>
        <v/>
      </c>
    </row>
    <row r="238">
      <c r="D238">
        <f>IF(C238="","",YEAR(C238)&amp;"-Q"&amp;ROUNDUP(MONTH(C238)/3,0))</f>
        <v/>
      </c>
      <c r="M238">
        <f>IF(B238="M&amp;A",N(H238),N(I238))</f>
        <v/>
      </c>
    </row>
    <row r="239">
      <c r="D239">
        <f>IF(C239="","",YEAR(C239)&amp;"-Q"&amp;ROUNDUP(MONTH(C239)/3,0))</f>
        <v/>
      </c>
      <c r="M239">
        <f>IF(B239="M&amp;A",N(H239),N(I239))</f>
        <v/>
      </c>
    </row>
    <row r="240">
      <c r="D240">
        <f>IF(C240="","",YEAR(C240)&amp;"-Q"&amp;ROUNDUP(MONTH(C240)/3,0))</f>
        <v/>
      </c>
      <c r="M240">
        <f>IF(B240="M&amp;A",N(H240),N(I240))</f>
        <v/>
      </c>
    </row>
    <row r="241">
      <c r="D241">
        <f>IF(C241="","",YEAR(C241)&amp;"-Q"&amp;ROUNDUP(MONTH(C241)/3,0))</f>
        <v/>
      </c>
      <c r="M241">
        <f>IF(B241="M&amp;A",N(H241),N(I241))</f>
        <v/>
      </c>
    </row>
    <row r="242">
      <c r="D242">
        <f>IF(C242="","",YEAR(C242)&amp;"-Q"&amp;ROUNDUP(MONTH(C242)/3,0))</f>
        <v/>
      </c>
      <c r="M242">
        <f>IF(B242="M&amp;A",N(H242),N(I242))</f>
        <v/>
      </c>
    </row>
    <row r="243">
      <c r="D243">
        <f>IF(C243="","",YEAR(C243)&amp;"-Q"&amp;ROUNDUP(MONTH(C243)/3,0))</f>
        <v/>
      </c>
      <c r="M243">
        <f>IF(B243="M&amp;A",N(H243),N(I243))</f>
        <v/>
      </c>
    </row>
    <row r="244">
      <c r="D244">
        <f>IF(C244="","",YEAR(C244)&amp;"-Q"&amp;ROUNDUP(MONTH(C244)/3,0))</f>
        <v/>
      </c>
      <c r="M244">
        <f>IF(B244="M&amp;A",N(H244),N(I244))</f>
        <v/>
      </c>
    </row>
    <row r="245">
      <c r="D245">
        <f>IF(C245="","",YEAR(C245)&amp;"-Q"&amp;ROUNDUP(MONTH(C245)/3,0))</f>
        <v/>
      </c>
      <c r="M245">
        <f>IF(B245="M&amp;A",N(H245),N(I245))</f>
        <v/>
      </c>
    </row>
    <row r="246">
      <c r="D246">
        <f>IF(C246="","",YEAR(C246)&amp;"-Q"&amp;ROUNDUP(MONTH(C246)/3,0))</f>
        <v/>
      </c>
      <c r="M246">
        <f>IF(B246="M&amp;A",N(H246),N(I246))</f>
        <v/>
      </c>
    </row>
    <row r="247">
      <c r="D247">
        <f>IF(C247="","",YEAR(C247)&amp;"-Q"&amp;ROUNDUP(MONTH(C247)/3,0))</f>
        <v/>
      </c>
      <c r="M247">
        <f>IF(B247="M&amp;A",N(H247),N(I247))</f>
        <v/>
      </c>
    </row>
    <row r="248">
      <c r="D248">
        <f>IF(C248="","",YEAR(C248)&amp;"-Q"&amp;ROUNDUP(MONTH(C248)/3,0))</f>
        <v/>
      </c>
      <c r="M248">
        <f>IF(B248="M&amp;A",N(H248),N(I248))</f>
        <v/>
      </c>
    </row>
    <row r="249">
      <c r="D249">
        <f>IF(C249="","",YEAR(C249)&amp;"-Q"&amp;ROUNDUP(MONTH(C249)/3,0))</f>
        <v/>
      </c>
      <c r="M249">
        <f>IF(B249="M&amp;A",N(H249),N(I249))</f>
        <v/>
      </c>
    </row>
    <row r="250">
      <c r="D250">
        <f>IF(C250="","",YEAR(C250)&amp;"-Q"&amp;ROUNDUP(MONTH(C250)/3,0))</f>
        <v/>
      </c>
      <c r="M250">
        <f>IF(B250="M&amp;A",N(H250),N(I250))</f>
        <v/>
      </c>
    </row>
    <row r="251">
      <c r="D251">
        <f>IF(C251="","",YEAR(C251)&amp;"-Q"&amp;ROUNDUP(MONTH(C251)/3,0))</f>
        <v/>
      </c>
      <c r="M251">
        <f>IF(B251="M&amp;A",N(H251),N(I251))</f>
        <v/>
      </c>
    </row>
    <row r="252">
      <c r="D252">
        <f>IF(C252="","",YEAR(C252)&amp;"-Q"&amp;ROUNDUP(MONTH(C252)/3,0))</f>
        <v/>
      </c>
      <c r="M252">
        <f>IF(B252="M&amp;A",N(H252),N(I252))</f>
        <v/>
      </c>
    </row>
    <row r="253">
      <c r="D253">
        <f>IF(C253="","",YEAR(C253)&amp;"-Q"&amp;ROUNDUP(MONTH(C253)/3,0))</f>
        <v/>
      </c>
      <c r="M253">
        <f>IF(B253="M&amp;A",N(H253),N(I253))</f>
        <v/>
      </c>
    </row>
    <row r="254">
      <c r="D254">
        <f>IF(C254="","",YEAR(C254)&amp;"-Q"&amp;ROUNDUP(MONTH(C254)/3,0))</f>
        <v/>
      </c>
      <c r="M254">
        <f>IF(B254="M&amp;A",N(H254),N(I254))</f>
        <v/>
      </c>
    </row>
    <row r="255">
      <c r="D255">
        <f>IF(C255="","",YEAR(C255)&amp;"-Q"&amp;ROUNDUP(MONTH(C255)/3,0))</f>
        <v/>
      </c>
      <c r="M255">
        <f>IF(B255="M&amp;A",N(H255),N(I255))</f>
        <v/>
      </c>
    </row>
    <row r="256">
      <c r="D256">
        <f>IF(C256="","",YEAR(C256)&amp;"-Q"&amp;ROUNDUP(MONTH(C256)/3,0))</f>
        <v/>
      </c>
      <c r="M256">
        <f>IF(B256="M&amp;A",N(H256),N(I256))</f>
        <v/>
      </c>
    </row>
    <row r="257">
      <c r="D257">
        <f>IF(C257="","",YEAR(C257)&amp;"-Q"&amp;ROUNDUP(MONTH(C257)/3,0))</f>
        <v/>
      </c>
      <c r="M257">
        <f>IF(B257="M&amp;A",N(H257),N(I257))</f>
        <v/>
      </c>
    </row>
    <row r="258">
      <c r="D258">
        <f>IF(C258="","",YEAR(C258)&amp;"-Q"&amp;ROUNDUP(MONTH(C258)/3,0))</f>
        <v/>
      </c>
      <c r="M258">
        <f>IF(B258="M&amp;A",N(H258),N(I258))</f>
        <v/>
      </c>
    </row>
    <row r="259">
      <c r="D259">
        <f>IF(C259="","",YEAR(C259)&amp;"-Q"&amp;ROUNDUP(MONTH(C259)/3,0))</f>
        <v/>
      </c>
      <c r="M259">
        <f>IF(B259="M&amp;A",N(H259),N(I259))</f>
        <v/>
      </c>
    </row>
    <row r="260">
      <c r="D260">
        <f>IF(C260="","",YEAR(C260)&amp;"-Q"&amp;ROUNDUP(MONTH(C260)/3,0))</f>
        <v/>
      </c>
      <c r="M260">
        <f>IF(B260="M&amp;A",N(H260),N(I260))</f>
        <v/>
      </c>
    </row>
    <row r="261">
      <c r="D261">
        <f>IF(C261="","",YEAR(C261)&amp;"-Q"&amp;ROUNDUP(MONTH(C261)/3,0))</f>
        <v/>
      </c>
      <c r="M261">
        <f>IF(B261="M&amp;A",N(H261),N(I261))</f>
        <v/>
      </c>
    </row>
    <row r="262">
      <c r="D262">
        <f>IF(C262="","",YEAR(C262)&amp;"-Q"&amp;ROUNDUP(MONTH(C262)/3,0))</f>
        <v/>
      </c>
      <c r="M262">
        <f>IF(B262="M&amp;A",N(H262),N(I262))</f>
        <v/>
      </c>
    </row>
    <row r="263">
      <c r="D263">
        <f>IF(C263="","",YEAR(C263)&amp;"-Q"&amp;ROUNDUP(MONTH(C263)/3,0))</f>
        <v/>
      </c>
      <c r="M263">
        <f>IF(B263="M&amp;A",N(H263),N(I263))</f>
        <v/>
      </c>
    </row>
    <row r="264">
      <c r="D264">
        <f>IF(C264="","",YEAR(C264)&amp;"-Q"&amp;ROUNDUP(MONTH(C264)/3,0))</f>
        <v/>
      </c>
      <c r="M264">
        <f>IF(B264="M&amp;A",N(H264),N(I264))</f>
        <v/>
      </c>
    </row>
    <row r="265">
      <c r="D265">
        <f>IF(C265="","",YEAR(C265)&amp;"-Q"&amp;ROUNDUP(MONTH(C265)/3,0))</f>
        <v/>
      </c>
      <c r="M265">
        <f>IF(B265="M&amp;A",N(H265),N(I265))</f>
        <v/>
      </c>
    </row>
    <row r="266">
      <c r="D266">
        <f>IF(C266="","",YEAR(C266)&amp;"-Q"&amp;ROUNDUP(MONTH(C266)/3,0))</f>
        <v/>
      </c>
      <c r="M266">
        <f>IF(B266="M&amp;A",N(H266),N(I266))</f>
        <v/>
      </c>
    </row>
    <row r="267">
      <c r="D267">
        <f>IF(C267="","",YEAR(C267)&amp;"-Q"&amp;ROUNDUP(MONTH(C267)/3,0))</f>
        <v/>
      </c>
      <c r="M267">
        <f>IF(B267="M&amp;A",N(H267),N(I267))</f>
        <v/>
      </c>
    </row>
    <row r="268">
      <c r="D268">
        <f>IF(C268="","",YEAR(C268)&amp;"-Q"&amp;ROUNDUP(MONTH(C268)/3,0))</f>
        <v/>
      </c>
      <c r="M268">
        <f>IF(B268="M&amp;A",N(H268),N(I268))</f>
        <v/>
      </c>
    </row>
    <row r="269">
      <c r="D269">
        <f>IF(C269="","",YEAR(C269)&amp;"-Q"&amp;ROUNDUP(MONTH(C269)/3,0))</f>
        <v/>
      </c>
      <c r="M269">
        <f>IF(B269="M&amp;A",N(H269),N(I269))</f>
        <v/>
      </c>
    </row>
    <row r="270">
      <c r="D270">
        <f>IF(C270="","",YEAR(C270)&amp;"-Q"&amp;ROUNDUP(MONTH(C270)/3,0))</f>
        <v/>
      </c>
      <c r="M270">
        <f>IF(B270="M&amp;A",N(H270),N(I270))</f>
        <v/>
      </c>
    </row>
    <row r="271">
      <c r="D271">
        <f>IF(C271="","",YEAR(C271)&amp;"-Q"&amp;ROUNDUP(MONTH(C271)/3,0))</f>
        <v/>
      </c>
      <c r="M271">
        <f>IF(B271="M&amp;A",N(H271),N(I271))</f>
        <v/>
      </c>
    </row>
    <row r="272">
      <c r="D272">
        <f>IF(C272="","",YEAR(C272)&amp;"-Q"&amp;ROUNDUP(MONTH(C272)/3,0))</f>
        <v/>
      </c>
      <c r="M272">
        <f>IF(B272="M&amp;A",N(H272),N(I272))</f>
        <v/>
      </c>
    </row>
    <row r="273">
      <c r="D273">
        <f>IF(C273="","",YEAR(C273)&amp;"-Q"&amp;ROUNDUP(MONTH(C273)/3,0))</f>
        <v/>
      </c>
      <c r="M273">
        <f>IF(B273="M&amp;A",N(H273),N(I273))</f>
        <v/>
      </c>
    </row>
    <row r="274">
      <c r="D274">
        <f>IF(C274="","",YEAR(C274)&amp;"-Q"&amp;ROUNDUP(MONTH(C274)/3,0))</f>
        <v/>
      </c>
      <c r="M274">
        <f>IF(B274="M&amp;A",N(H274),N(I274))</f>
        <v/>
      </c>
    </row>
    <row r="275">
      <c r="D275">
        <f>IF(C275="","",YEAR(C275)&amp;"-Q"&amp;ROUNDUP(MONTH(C275)/3,0))</f>
        <v/>
      </c>
      <c r="M275">
        <f>IF(B275="M&amp;A",N(H275),N(I275))</f>
        <v/>
      </c>
    </row>
    <row r="276">
      <c r="D276">
        <f>IF(C276="","",YEAR(C276)&amp;"-Q"&amp;ROUNDUP(MONTH(C276)/3,0))</f>
        <v/>
      </c>
      <c r="M276">
        <f>IF(B276="M&amp;A",N(H276),N(I276))</f>
        <v/>
      </c>
    </row>
    <row r="277">
      <c r="D277">
        <f>IF(C277="","",YEAR(C277)&amp;"-Q"&amp;ROUNDUP(MONTH(C277)/3,0))</f>
        <v/>
      </c>
      <c r="M277">
        <f>IF(B277="M&amp;A",N(H277),N(I277))</f>
        <v/>
      </c>
    </row>
    <row r="278">
      <c r="D278">
        <f>IF(C278="","",YEAR(C278)&amp;"-Q"&amp;ROUNDUP(MONTH(C278)/3,0))</f>
        <v/>
      </c>
      <c r="M278">
        <f>IF(B278="M&amp;A",N(H278),N(I278))</f>
        <v/>
      </c>
    </row>
    <row r="279">
      <c r="D279">
        <f>IF(C279="","",YEAR(C279)&amp;"-Q"&amp;ROUNDUP(MONTH(C279)/3,0))</f>
        <v/>
      </c>
      <c r="M279">
        <f>IF(B279="M&amp;A",N(H279),N(I279))</f>
        <v/>
      </c>
    </row>
    <row r="280">
      <c r="D280">
        <f>IF(C280="","",YEAR(C280)&amp;"-Q"&amp;ROUNDUP(MONTH(C280)/3,0))</f>
        <v/>
      </c>
      <c r="M280">
        <f>IF(B280="M&amp;A",N(H280),N(I280))</f>
        <v/>
      </c>
    </row>
    <row r="281">
      <c r="D281">
        <f>IF(C281="","",YEAR(C281)&amp;"-Q"&amp;ROUNDUP(MONTH(C281)/3,0))</f>
        <v/>
      </c>
      <c r="M281">
        <f>IF(B281="M&amp;A",N(H281),N(I281))</f>
        <v/>
      </c>
    </row>
    <row r="282">
      <c r="D282">
        <f>IF(C282="","",YEAR(C282)&amp;"-Q"&amp;ROUNDUP(MONTH(C282)/3,0))</f>
        <v/>
      </c>
      <c r="M282">
        <f>IF(B282="M&amp;A",N(H282),N(I282))</f>
        <v/>
      </c>
    </row>
    <row r="283">
      <c r="D283">
        <f>IF(C283="","",YEAR(C283)&amp;"-Q"&amp;ROUNDUP(MONTH(C283)/3,0))</f>
        <v/>
      </c>
      <c r="M283">
        <f>IF(B283="M&amp;A",N(H283),N(I283))</f>
        <v/>
      </c>
    </row>
    <row r="284">
      <c r="D284">
        <f>IF(C284="","",YEAR(C284)&amp;"-Q"&amp;ROUNDUP(MONTH(C284)/3,0))</f>
        <v/>
      </c>
      <c r="M284">
        <f>IF(B284="M&amp;A",N(H284),N(I284))</f>
        <v/>
      </c>
    </row>
    <row r="285">
      <c r="D285">
        <f>IF(C285="","",YEAR(C285)&amp;"-Q"&amp;ROUNDUP(MONTH(C285)/3,0))</f>
        <v/>
      </c>
      <c r="M285">
        <f>IF(B285="M&amp;A",N(H285),N(I285))</f>
        <v/>
      </c>
    </row>
    <row r="286">
      <c r="D286">
        <f>IF(C286="","",YEAR(C286)&amp;"-Q"&amp;ROUNDUP(MONTH(C286)/3,0))</f>
        <v/>
      </c>
      <c r="M286">
        <f>IF(B286="M&amp;A",N(H286),N(I286))</f>
        <v/>
      </c>
    </row>
    <row r="287">
      <c r="D287">
        <f>IF(C287="","",YEAR(C287)&amp;"-Q"&amp;ROUNDUP(MONTH(C287)/3,0))</f>
        <v/>
      </c>
      <c r="M287">
        <f>IF(B287="M&amp;A",N(H287),N(I287))</f>
        <v/>
      </c>
    </row>
    <row r="288">
      <c r="D288">
        <f>IF(C288="","",YEAR(C288)&amp;"-Q"&amp;ROUNDUP(MONTH(C288)/3,0))</f>
        <v/>
      </c>
      <c r="M288">
        <f>IF(B288="M&amp;A",N(H288),N(I288))</f>
        <v/>
      </c>
    </row>
    <row r="289">
      <c r="D289">
        <f>IF(C289="","",YEAR(C289)&amp;"-Q"&amp;ROUNDUP(MONTH(C289)/3,0))</f>
        <v/>
      </c>
      <c r="M289">
        <f>IF(B289="M&amp;A",N(H289),N(I289))</f>
        <v/>
      </c>
    </row>
    <row r="290">
      <c r="D290">
        <f>IF(C290="","",YEAR(C290)&amp;"-Q"&amp;ROUNDUP(MONTH(C290)/3,0))</f>
        <v/>
      </c>
      <c r="M290">
        <f>IF(B290="M&amp;A",N(H290),N(I290))</f>
        <v/>
      </c>
    </row>
    <row r="291">
      <c r="D291">
        <f>IF(C291="","",YEAR(C291)&amp;"-Q"&amp;ROUNDUP(MONTH(C291)/3,0))</f>
        <v/>
      </c>
      <c r="M291">
        <f>IF(B291="M&amp;A",N(H291),N(I291))</f>
        <v/>
      </c>
    </row>
    <row r="292">
      <c r="D292">
        <f>IF(C292="","",YEAR(C292)&amp;"-Q"&amp;ROUNDUP(MONTH(C292)/3,0))</f>
        <v/>
      </c>
      <c r="M292">
        <f>IF(B292="M&amp;A",N(H292),N(I292))</f>
        <v/>
      </c>
    </row>
    <row r="293">
      <c r="D293">
        <f>IF(C293="","",YEAR(C293)&amp;"-Q"&amp;ROUNDUP(MONTH(C293)/3,0))</f>
        <v/>
      </c>
      <c r="M293">
        <f>IF(B293="M&amp;A",N(H293),N(I293))</f>
        <v/>
      </c>
    </row>
    <row r="294">
      <c r="D294">
        <f>IF(C294="","",YEAR(C294)&amp;"-Q"&amp;ROUNDUP(MONTH(C294)/3,0))</f>
        <v/>
      </c>
      <c r="M294">
        <f>IF(B294="M&amp;A",N(H294),N(I294))</f>
        <v/>
      </c>
    </row>
    <row r="295">
      <c r="D295">
        <f>IF(C295="","",YEAR(C295)&amp;"-Q"&amp;ROUNDUP(MONTH(C295)/3,0))</f>
        <v/>
      </c>
      <c r="M295">
        <f>IF(B295="M&amp;A",N(H295),N(I295))</f>
        <v/>
      </c>
    </row>
    <row r="296">
      <c r="D296">
        <f>IF(C296="","",YEAR(C296)&amp;"-Q"&amp;ROUNDUP(MONTH(C296)/3,0))</f>
        <v/>
      </c>
      <c r="M296">
        <f>IF(B296="M&amp;A",N(H296),N(I296))</f>
        <v/>
      </c>
    </row>
    <row r="297">
      <c r="D297">
        <f>IF(C297="","",YEAR(C297)&amp;"-Q"&amp;ROUNDUP(MONTH(C297)/3,0))</f>
        <v/>
      </c>
      <c r="M297">
        <f>IF(B297="M&amp;A",N(H297),N(I297))</f>
        <v/>
      </c>
    </row>
    <row r="298">
      <c r="D298">
        <f>IF(C298="","",YEAR(C298)&amp;"-Q"&amp;ROUNDUP(MONTH(C298)/3,0))</f>
        <v/>
      </c>
      <c r="M298">
        <f>IF(B298="M&amp;A",N(H298),N(I298))</f>
        <v/>
      </c>
    </row>
    <row r="299">
      <c r="D299">
        <f>IF(C299="","",YEAR(C299)&amp;"-Q"&amp;ROUNDUP(MONTH(C299)/3,0))</f>
        <v/>
      </c>
      <c r="M299">
        <f>IF(B299="M&amp;A",N(H299),N(I299))</f>
        <v/>
      </c>
    </row>
    <row r="300">
      <c r="D300">
        <f>IF(C300="","",YEAR(C300)&amp;"-Q"&amp;ROUNDUP(MONTH(C300)/3,0))</f>
        <v/>
      </c>
      <c r="M300">
        <f>IF(B300="M&amp;A",N(H300),N(I300))</f>
        <v/>
      </c>
    </row>
    <row r="301">
      <c r="D301">
        <f>IF(C301="","",YEAR(C301)&amp;"-Q"&amp;ROUNDUP(MONTH(C301)/3,0))</f>
        <v/>
      </c>
      <c r="M301">
        <f>IF(B301="M&amp;A",N(H301),N(I301))</f>
        <v/>
      </c>
    </row>
    <row r="302">
      <c r="D302">
        <f>IF(C302="","",YEAR(C302)&amp;"-Q"&amp;ROUNDUP(MONTH(C302)/3,0))</f>
        <v/>
      </c>
      <c r="M302">
        <f>IF(B302="M&amp;A",N(H302),N(I302))</f>
        <v/>
      </c>
    </row>
    <row r="303">
      <c r="D303">
        <f>IF(C303="","",YEAR(C303)&amp;"-Q"&amp;ROUNDUP(MONTH(C303)/3,0))</f>
        <v/>
      </c>
      <c r="M303">
        <f>IF(B303="M&amp;A",N(H303),N(I303))</f>
        <v/>
      </c>
    </row>
    <row r="304">
      <c r="D304">
        <f>IF(C304="","",YEAR(C304)&amp;"-Q"&amp;ROUNDUP(MONTH(C304)/3,0))</f>
        <v/>
      </c>
      <c r="M304">
        <f>IF(B304="M&amp;A",N(H304),N(I304))</f>
        <v/>
      </c>
    </row>
    <row r="305">
      <c r="D305">
        <f>IF(C305="","",YEAR(C305)&amp;"-Q"&amp;ROUNDUP(MONTH(C305)/3,0))</f>
        <v/>
      </c>
      <c r="M305">
        <f>IF(B305="M&amp;A",N(H305),N(I305))</f>
        <v/>
      </c>
    </row>
    <row r="306">
      <c r="D306">
        <f>IF(C306="","",YEAR(C306)&amp;"-Q"&amp;ROUNDUP(MONTH(C306)/3,0))</f>
        <v/>
      </c>
      <c r="M306">
        <f>IF(B306="M&amp;A",N(H306),N(I306))</f>
        <v/>
      </c>
    </row>
    <row r="307">
      <c r="D307">
        <f>IF(C307="","",YEAR(C307)&amp;"-Q"&amp;ROUNDUP(MONTH(C307)/3,0))</f>
        <v/>
      </c>
      <c r="M307">
        <f>IF(B307="M&amp;A",N(H307),N(I307))</f>
        <v/>
      </c>
    </row>
    <row r="308">
      <c r="D308">
        <f>IF(C308="","",YEAR(C308)&amp;"-Q"&amp;ROUNDUP(MONTH(C308)/3,0))</f>
        <v/>
      </c>
      <c r="M308">
        <f>IF(B308="M&amp;A",N(H308),N(I308))</f>
        <v/>
      </c>
    </row>
    <row r="309">
      <c r="D309">
        <f>IF(C309="","",YEAR(C309)&amp;"-Q"&amp;ROUNDUP(MONTH(C309)/3,0))</f>
        <v/>
      </c>
      <c r="M309">
        <f>IF(B309="M&amp;A",N(H309),N(I309))</f>
        <v/>
      </c>
    </row>
    <row r="310">
      <c r="D310">
        <f>IF(C310="","",YEAR(C310)&amp;"-Q"&amp;ROUNDUP(MONTH(C310)/3,0))</f>
        <v/>
      </c>
      <c r="M310">
        <f>IF(B310="M&amp;A",N(H310),N(I310))</f>
        <v/>
      </c>
    </row>
    <row r="311">
      <c r="D311">
        <f>IF(C311="","",YEAR(C311)&amp;"-Q"&amp;ROUNDUP(MONTH(C311)/3,0))</f>
        <v/>
      </c>
      <c r="M311">
        <f>IF(B311="M&amp;A",N(H311),N(I311))</f>
        <v/>
      </c>
    </row>
    <row r="312">
      <c r="D312">
        <f>IF(C312="","",YEAR(C312)&amp;"-Q"&amp;ROUNDUP(MONTH(C312)/3,0))</f>
        <v/>
      </c>
      <c r="M312">
        <f>IF(B312="M&amp;A",N(H312),N(I312))</f>
        <v/>
      </c>
    </row>
    <row r="313">
      <c r="D313">
        <f>IF(C313="","",YEAR(C313)&amp;"-Q"&amp;ROUNDUP(MONTH(C313)/3,0))</f>
        <v/>
      </c>
      <c r="M313">
        <f>IF(B313="M&amp;A",N(H313),N(I313))</f>
        <v/>
      </c>
    </row>
    <row r="314">
      <c r="D314">
        <f>IF(C314="","",YEAR(C314)&amp;"-Q"&amp;ROUNDUP(MONTH(C314)/3,0))</f>
        <v/>
      </c>
      <c r="M314">
        <f>IF(B314="M&amp;A",N(H314),N(I314))</f>
        <v/>
      </c>
    </row>
    <row r="315">
      <c r="D315">
        <f>IF(C315="","",YEAR(C315)&amp;"-Q"&amp;ROUNDUP(MONTH(C315)/3,0))</f>
        <v/>
      </c>
      <c r="M315">
        <f>IF(B315="M&amp;A",N(H315),N(I315))</f>
        <v/>
      </c>
    </row>
    <row r="316">
      <c r="D316">
        <f>IF(C316="","",YEAR(C316)&amp;"-Q"&amp;ROUNDUP(MONTH(C316)/3,0))</f>
        <v/>
      </c>
      <c r="M316">
        <f>IF(B316="M&amp;A",N(H316),N(I316))</f>
        <v/>
      </c>
    </row>
    <row r="317">
      <c r="D317">
        <f>IF(C317="","",YEAR(C317)&amp;"-Q"&amp;ROUNDUP(MONTH(C317)/3,0))</f>
        <v/>
      </c>
      <c r="M317">
        <f>IF(B317="M&amp;A",N(H317),N(I317))</f>
        <v/>
      </c>
    </row>
    <row r="318">
      <c r="D318">
        <f>IF(C318="","",YEAR(C318)&amp;"-Q"&amp;ROUNDUP(MONTH(C318)/3,0))</f>
        <v/>
      </c>
      <c r="M318">
        <f>IF(B318="M&amp;A",N(H318),N(I318))</f>
        <v/>
      </c>
    </row>
    <row r="319">
      <c r="D319">
        <f>IF(C319="","",YEAR(C319)&amp;"-Q"&amp;ROUNDUP(MONTH(C319)/3,0))</f>
        <v/>
      </c>
      <c r="M319">
        <f>IF(B319="M&amp;A",N(H319),N(I319))</f>
        <v/>
      </c>
    </row>
    <row r="320">
      <c r="D320">
        <f>IF(C320="","",YEAR(C320)&amp;"-Q"&amp;ROUNDUP(MONTH(C320)/3,0))</f>
        <v/>
      </c>
      <c r="M320">
        <f>IF(B320="M&amp;A",N(H320),N(I320))</f>
        <v/>
      </c>
    </row>
    <row r="321">
      <c r="D321">
        <f>IF(C321="","",YEAR(C321)&amp;"-Q"&amp;ROUNDUP(MONTH(C321)/3,0))</f>
        <v/>
      </c>
      <c r="M321">
        <f>IF(B321="M&amp;A",N(H321),N(I321))</f>
        <v/>
      </c>
    </row>
    <row r="322">
      <c r="D322">
        <f>IF(C322="","",YEAR(C322)&amp;"-Q"&amp;ROUNDUP(MONTH(C322)/3,0))</f>
        <v/>
      </c>
      <c r="M322">
        <f>IF(B322="M&amp;A",N(H322),N(I322))</f>
        <v/>
      </c>
    </row>
    <row r="323">
      <c r="D323">
        <f>IF(C323="","",YEAR(C323)&amp;"-Q"&amp;ROUNDUP(MONTH(C323)/3,0))</f>
        <v/>
      </c>
      <c r="M323">
        <f>IF(B323="M&amp;A",N(H323),N(I323))</f>
        <v/>
      </c>
    </row>
    <row r="324">
      <c r="D324">
        <f>IF(C324="","",YEAR(C324)&amp;"-Q"&amp;ROUNDUP(MONTH(C324)/3,0))</f>
        <v/>
      </c>
      <c r="M324">
        <f>IF(B324="M&amp;A",N(H324),N(I324))</f>
        <v/>
      </c>
    </row>
    <row r="325">
      <c r="D325">
        <f>IF(C325="","",YEAR(C325)&amp;"-Q"&amp;ROUNDUP(MONTH(C325)/3,0))</f>
        <v/>
      </c>
      <c r="M325">
        <f>IF(B325="M&amp;A",N(H325),N(I325))</f>
        <v/>
      </c>
    </row>
    <row r="326">
      <c r="D326">
        <f>IF(C326="","",YEAR(C326)&amp;"-Q"&amp;ROUNDUP(MONTH(C326)/3,0))</f>
        <v/>
      </c>
      <c r="M326">
        <f>IF(B326="M&amp;A",N(H326),N(I326))</f>
        <v/>
      </c>
    </row>
    <row r="327">
      <c r="D327">
        <f>IF(C327="","",YEAR(C327)&amp;"-Q"&amp;ROUNDUP(MONTH(C327)/3,0))</f>
        <v/>
      </c>
      <c r="M327">
        <f>IF(B327="M&amp;A",N(H327),N(I327))</f>
        <v/>
      </c>
    </row>
    <row r="328">
      <c r="D328">
        <f>IF(C328="","",YEAR(C328)&amp;"-Q"&amp;ROUNDUP(MONTH(C328)/3,0))</f>
        <v/>
      </c>
      <c r="M328">
        <f>IF(B328="M&amp;A",N(H328),N(I328))</f>
        <v/>
      </c>
    </row>
    <row r="329">
      <c r="D329">
        <f>IF(C329="","",YEAR(C329)&amp;"-Q"&amp;ROUNDUP(MONTH(C329)/3,0))</f>
        <v/>
      </c>
      <c r="M329">
        <f>IF(B329="M&amp;A",N(H329),N(I329))</f>
        <v/>
      </c>
    </row>
    <row r="330">
      <c r="D330">
        <f>IF(C330="","",YEAR(C330)&amp;"-Q"&amp;ROUNDUP(MONTH(C330)/3,0))</f>
        <v/>
      </c>
      <c r="M330">
        <f>IF(B330="M&amp;A",N(H330),N(I330))</f>
        <v/>
      </c>
    </row>
    <row r="331">
      <c r="D331">
        <f>IF(C331="","",YEAR(C331)&amp;"-Q"&amp;ROUNDUP(MONTH(C331)/3,0))</f>
        <v/>
      </c>
      <c r="M331">
        <f>IF(B331="M&amp;A",N(H331),N(I331))</f>
        <v/>
      </c>
    </row>
    <row r="332">
      <c r="D332">
        <f>IF(C332="","",YEAR(C332)&amp;"-Q"&amp;ROUNDUP(MONTH(C332)/3,0))</f>
        <v/>
      </c>
      <c r="M332">
        <f>IF(B332="M&amp;A",N(H332),N(I332))</f>
        <v/>
      </c>
    </row>
    <row r="333">
      <c r="D333">
        <f>IF(C333="","",YEAR(C333)&amp;"-Q"&amp;ROUNDUP(MONTH(C333)/3,0))</f>
        <v/>
      </c>
      <c r="M333">
        <f>IF(B333="M&amp;A",N(H333),N(I333))</f>
        <v/>
      </c>
    </row>
    <row r="334">
      <c r="D334">
        <f>IF(C334="","",YEAR(C334)&amp;"-Q"&amp;ROUNDUP(MONTH(C334)/3,0))</f>
        <v/>
      </c>
      <c r="M334">
        <f>IF(B334="M&amp;A",N(H334),N(I334))</f>
        <v/>
      </c>
    </row>
    <row r="335">
      <c r="D335">
        <f>IF(C335="","",YEAR(C335)&amp;"-Q"&amp;ROUNDUP(MONTH(C335)/3,0))</f>
        <v/>
      </c>
      <c r="M335">
        <f>IF(B335="M&amp;A",N(H335),N(I335))</f>
        <v/>
      </c>
    </row>
    <row r="336">
      <c r="D336">
        <f>IF(C336="","",YEAR(C336)&amp;"-Q"&amp;ROUNDUP(MONTH(C336)/3,0))</f>
        <v/>
      </c>
      <c r="M336">
        <f>IF(B336="M&amp;A",N(H336),N(I336))</f>
        <v/>
      </c>
    </row>
    <row r="337">
      <c r="D337">
        <f>IF(C337="","",YEAR(C337)&amp;"-Q"&amp;ROUNDUP(MONTH(C337)/3,0))</f>
        <v/>
      </c>
      <c r="M337">
        <f>IF(B337="M&amp;A",N(H337),N(I337))</f>
        <v/>
      </c>
    </row>
    <row r="338">
      <c r="D338">
        <f>IF(C338="","",YEAR(C338)&amp;"-Q"&amp;ROUNDUP(MONTH(C338)/3,0))</f>
        <v/>
      </c>
      <c r="M338">
        <f>IF(B338="M&amp;A",N(H338),N(I338))</f>
        <v/>
      </c>
    </row>
    <row r="339">
      <c r="D339">
        <f>IF(C339="","",YEAR(C339)&amp;"-Q"&amp;ROUNDUP(MONTH(C339)/3,0))</f>
        <v/>
      </c>
      <c r="M339">
        <f>IF(B339="M&amp;A",N(H339),N(I339))</f>
        <v/>
      </c>
    </row>
    <row r="340">
      <c r="D340">
        <f>IF(C340="","",YEAR(C340)&amp;"-Q"&amp;ROUNDUP(MONTH(C340)/3,0))</f>
        <v/>
      </c>
      <c r="M340">
        <f>IF(B340="M&amp;A",N(H340),N(I340))</f>
        <v/>
      </c>
    </row>
    <row r="341">
      <c r="D341">
        <f>IF(C341="","",YEAR(C341)&amp;"-Q"&amp;ROUNDUP(MONTH(C341)/3,0))</f>
        <v/>
      </c>
      <c r="M341">
        <f>IF(B341="M&amp;A",N(H341),N(I341))</f>
        <v/>
      </c>
    </row>
    <row r="342">
      <c r="D342">
        <f>IF(C342="","",YEAR(C342)&amp;"-Q"&amp;ROUNDUP(MONTH(C342)/3,0))</f>
        <v/>
      </c>
      <c r="M342">
        <f>IF(B342="M&amp;A",N(H342),N(I342))</f>
        <v/>
      </c>
    </row>
    <row r="343">
      <c r="D343">
        <f>IF(C343="","",YEAR(C343)&amp;"-Q"&amp;ROUNDUP(MONTH(C343)/3,0))</f>
        <v/>
      </c>
      <c r="M343">
        <f>IF(B343="M&amp;A",N(H343),N(I343))</f>
        <v/>
      </c>
    </row>
    <row r="344">
      <c r="D344">
        <f>IF(C344="","",YEAR(C344)&amp;"-Q"&amp;ROUNDUP(MONTH(C344)/3,0))</f>
        <v/>
      </c>
      <c r="M344">
        <f>IF(B344="M&amp;A",N(H344),N(I344))</f>
        <v/>
      </c>
    </row>
    <row r="345">
      <c r="D345">
        <f>IF(C345="","",YEAR(C345)&amp;"-Q"&amp;ROUNDUP(MONTH(C345)/3,0))</f>
        <v/>
      </c>
      <c r="M345">
        <f>IF(B345="M&amp;A",N(H345),N(I345))</f>
        <v/>
      </c>
    </row>
    <row r="346">
      <c r="D346">
        <f>IF(C346="","",YEAR(C346)&amp;"-Q"&amp;ROUNDUP(MONTH(C346)/3,0))</f>
        <v/>
      </c>
      <c r="M346">
        <f>IF(B346="M&amp;A",N(H346),N(I346))</f>
        <v/>
      </c>
    </row>
    <row r="347">
      <c r="D347">
        <f>IF(C347="","",YEAR(C347)&amp;"-Q"&amp;ROUNDUP(MONTH(C347)/3,0))</f>
        <v/>
      </c>
      <c r="M347">
        <f>IF(B347="M&amp;A",N(H347),N(I347))</f>
        <v/>
      </c>
    </row>
    <row r="348">
      <c r="D348">
        <f>IF(C348="","",YEAR(C348)&amp;"-Q"&amp;ROUNDUP(MONTH(C348)/3,0))</f>
        <v/>
      </c>
      <c r="M348">
        <f>IF(B348="M&amp;A",N(H348),N(I348))</f>
        <v/>
      </c>
    </row>
    <row r="349">
      <c r="D349">
        <f>IF(C349="","",YEAR(C349)&amp;"-Q"&amp;ROUNDUP(MONTH(C349)/3,0))</f>
        <v/>
      </c>
      <c r="M349">
        <f>IF(B349="M&amp;A",N(H349),N(I349))</f>
        <v/>
      </c>
    </row>
    <row r="350">
      <c r="D350">
        <f>IF(C350="","",YEAR(C350)&amp;"-Q"&amp;ROUNDUP(MONTH(C350)/3,0))</f>
        <v/>
      </c>
      <c r="M350">
        <f>IF(B350="M&amp;A",N(H350),N(I350))</f>
        <v/>
      </c>
    </row>
    <row r="351">
      <c r="D351">
        <f>IF(C351="","",YEAR(C351)&amp;"-Q"&amp;ROUNDUP(MONTH(C351)/3,0))</f>
        <v/>
      </c>
      <c r="M351">
        <f>IF(B351="M&amp;A",N(H351),N(I351))</f>
        <v/>
      </c>
    </row>
    <row r="352">
      <c r="D352">
        <f>IF(C352="","",YEAR(C352)&amp;"-Q"&amp;ROUNDUP(MONTH(C352)/3,0))</f>
        <v/>
      </c>
      <c r="M352">
        <f>IF(B352="M&amp;A",N(H352),N(I352))</f>
        <v/>
      </c>
    </row>
    <row r="353">
      <c r="D353">
        <f>IF(C353="","",YEAR(C353)&amp;"-Q"&amp;ROUNDUP(MONTH(C353)/3,0))</f>
        <v/>
      </c>
      <c r="M353">
        <f>IF(B353="M&amp;A",N(H353),N(I353))</f>
        <v/>
      </c>
    </row>
    <row r="354">
      <c r="D354">
        <f>IF(C354="","",YEAR(C354)&amp;"-Q"&amp;ROUNDUP(MONTH(C354)/3,0))</f>
        <v/>
      </c>
      <c r="M354">
        <f>IF(B354="M&amp;A",N(H354),N(I354))</f>
        <v/>
      </c>
    </row>
    <row r="355">
      <c r="D355">
        <f>IF(C355="","",YEAR(C355)&amp;"-Q"&amp;ROUNDUP(MONTH(C355)/3,0))</f>
        <v/>
      </c>
      <c r="M355">
        <f>IF(B355="M&amp;A",N(H355),N(I355))</f>
        <v/>
      </c>
    </row>
    <row r="356">
      <c r="D356">
        <f>IF(C356="","",YEAR(C356)&amp;"-Q"&amp;ROUNDUP(MONTH(C356)/3,0))</f>
        <v/>
      </c>
      <c r="M356">
        <f>IF(B356="M&amp;A",N(H356),N(I356))</f>
        <v/>
      </c>
    </row>
    <row r="357">
      <c r="D357">
        <f>IF(C357="","",YEAR(C357)&amp;"-Q"&amp;ROUNDUP(MONTH(C357)/3,0))</f>
        <v/>
      </c>
      <c r="M357">
        <f>IF(B357="M&amp;A",N(H357),N(I357))</f>
        <v/>
      </c>
    </row>
    <row r="358">
      <c r="D358">
        <f>IF(C358="","",YEAR(C358)&amp;"-Q"&amp;ROUNDUP(MONTH(C358)/3,0))</f>
        <v/>
      </c>
      <c r="M358">
        <f>IF(B358="M&amp;A",N(H358),N(I358))</f>
        <v/>
      </c>
    </row>
    <row r="359">
      <c r="D359">
        <f>IF(C359="","",YEAR(C359)&amp;"-Q"&amp;ROUNDUP(MONTH(C359)/3,0))</f>
        <v/>
      </c>
      <c r="M359">
        <f>IF(B359="M&amp;A",N(H359),N(I359))</f>
        <v/>
      </c>
    </row>
    <row r="360">
      <c r="D360">
        <f>IF(C360="","",YEAR(C360)&amp;"-Q"&amp;ROUNDUP(MONTH(C360)/3,0))</f>
        <v/>
      </c>
      <c r="M360">
        <f>IF(B360="M&amp;A",N(H360),N(I360))</f>
        <v/>
      </c>
    </row>
    <row r="361">
      <c r="D361">
        <f>IF(C361="","",YEAR(C361)&amp;"-Q"&amp;ROUNDUP(MONTH(C361)/3,0))</f>
        <v/>
      </c>
      <c r="M361">
        <f>IF(B361="M&amp;A",N(H361),N(I361))</f>
        <v/>
      </c>
    </row>
    <row r="362">
      <c r="D362">
        <f>IF(C362="","",YEAR(C362)&amp;"-Q"&amp;ROUNDUP(MONTH(C362)/3,0))</f>
        <v/>
      </c>
      <c r="M362">
        <f>IF(B362="M&amp;A",N(H362),N(I362))</f>
        <v/>
      </c>
    </row>
    <row r="363">
      <c r="D363">
        <f>IF(C363="","",YEAR(C363)&amp;"-Q"&amp;ROUNDUP(MONTH(C363)/3,0))</f>
        <v/>
      </c>
      <c r="M363">
        <f>IF(B363="M&amp;A",N(H363),N(I363))</f>
        <v/>
      </c>
    </row>
    <row r="364">
      <c r="D364">
        <f>IF(C364="","",YEAR(C364)&amp;"-Q"&amp;ROUNDUP(MONTH(C364)/3,0))</f>
        <v/>
      </c>
      <c r="M364">
        <f>IF(B364="M&amp;A",N(H364),N(I364))</f>
        <v/>
      </c>
    </row>
    <row r="365">
      <c r="D365">
        <f>IF(C365="","",YEAR(C365)&amp;"-Q"&amp;ROUNDUP(MONTH(C365)/3,0))</f>
        <v/>
      </c>
      <c r="M365">
        <f>IF(B365="M&amp;A",N(H365),N(I365))</f>
        <v/>
      </c>
    </row>
    <row r="366">
      <c r="D366">
        <f>IF(C366="","",YEAR(C366)&amp;"-Q"&amp;ROUNDUP(MONTH(C366)/3,0))</f>
        <v/>
      </c>
      <c r="M366">
        <f>IF(B366="M&amp;A",N(H366),N(I366))</f>
        <v/>
      </c>
    </row>
    <row r="367">
      <c r="D367">
        <f>IF(C367="","",YEAR(C367)&amp;"-Q"&amp;ROUNDUP(MONTH(C367)/3,0))</f>
        <v/>
      </c>
      <c r="M367">
        <f>IF(B367="M&amp;A",N(H367),N(I367))</f>
        <v/>
      </c>
    </row>
    <row r="368">
      <c r="D368">
        <f>IF(C368="","",YEAR(C368)&amp;"-Q"&amp;ROUNDUP(MONTH(C368)/3,0))</f>
        <v/>
      </c>
      <c r="M368">
        <f>IF(B368="M&amp;A",N(H368),N(I368))</f>
        <v/>
      </c>
    </row>
    <row r="369">
      <c r="D369">
        <f>IF(C369="","",YEAR(C369)&amp;"-Q"&amp;ROUNDUP(MONTH(C369)/3,0))</f>
        <v/>
      </c>
      <c r="M369">
        <f>IF(B369="M&amp;A",N(H369),N(I369))</f>
        <v/>
      </c>
    </row>
    <row r="370">
      <c r="D370">
        <f>IF(C370="","",YEAR(C370)&amp;"-Q"&amp;ROUNDUP(MONTH(C370)/3,0))</f>
        <v/>
      </c>
      <c r="M370">
        <f>IF(B370="M&amp;A",N(H370),N(I370))</f>
        <v/>
      </c>
    </row>
    <row r="371">
      <c r="D371">
        <f>IF(C371="","",YEAR(C371)&amp;"-Q"&amp;ROUNDUP(MONTH(C371)/3,0))</f>
        <v/>
      </c>
      <c r="M371">
        <f>IF(B371="M&amp;A",N(H371),N(I371))</f>
        <v/>
      </c>
    </row>
    <row r="372">
      <c r="D372">
        <f>IF(C372="","",YEAR(C372)&amp;"-Q"&amp;ROUNDUP(MONTH(C372)/3,0))</f>
        <v/>
      </c>
      <c r="M372">
        <f>IF(B372="M&amp;A",N(H372),N(I372))</f>
        <v/>
      </c>
    </row>
    <row r="373">
      <c r="D373">
        <f>IF(C373="","",YEAR(C373)&amp;"-Q"&amp;ROUNDUP(MONTH(C373)/3,0))</f>
        <v/>
      </c>
      <c r="M373">
        <f>IF(B373="M&amp;A",N(H373),N(I373))</f>
        <v/>
      </c>
    </row>
    <row r="374">
      <c r="D374">
        <f>IF(C374="","",YEAR(C374)&amp;"-Q"&amp;ROUNDUP(MONTH(C374)/3,0))</f>
        <v/>
      </c>
      <c r="M374">
        <f>IF(B374="M&amp;A",N(H374),N(I374))</f>
        <v/>
      </c>
    </row>
    <row r="375">
      <c r="D375">
        <f>IF(C375="","",YEAR(C375)&amp;"-Q"&amp;ROUNDUP(MONTH(C375)/3,0))</f>
        <v/>
      </c>
      <c r="M375">
        <f>IF(B375="M&amp;A",N(H375),N(I375))</f>
        <v/>
      </c>
    </row>
    <row r="376">
      <c r="D376">
        <f>IF(C376="","",YEAR(C376)&amp;"-Q"&amp;ROUNDUP(MONTH(C376)/3,0))</f>
        <v/>
      </c>
      <c r="M376">
        <f>IF(B376="M&amp;A",N(H376),N(I376))</f>
        <v/>
      </c>
    </row>
    <row r="377">
      <c r="D377">
        <f>IF(C377="","",YEAR(C377)&amp;"-Q"&amp;ROUNDUP(MONTH(C377)/3,0))</f>
        <v/>
      </c>
      <c r="M377">
        <f>IF(B377="M&amp;A",N(H377),N(I377))</f>
        <v/>
      </c>
    </row>
    <row r="378">
      <c r="D378">
        <f>IF(C378="","",YEAR(C378)&amp;"-Q"&amp;ROUNDUP(MONTH(C378)/3,0))</f>
        <v/>
      </c>
      <c r="M378">
        <f>IF(B378="M&amp;A",N(H378),N(I378))</f>
        <v/>
      </c>
    </row>
    <row r="379">
      <c r="D379">
        <f>IF(C379="","",YEAR(C379)&amp;"-Q"&amp;ROUNDUP(MONTH(C379)/3,0))</f>
        <v/>
      </c>
      <c r="M379">
        <f>IF(B379="M&amp;A",N(H379),N(I379))</f>
        <v/>
      </c>
    </row>
    <row r="380">
      <c r="D380">
        <f>IF(C380="","",YEAR(C380)&amp;"-Q"&amp;ROUNDUP(MONTH(C380)/3,0))</f>
        <v/>
      </c>
      <c r="M380">
        <f>IF(B380="M&amp;A",N(H380),N(I380))</f>
        <v/>
      </c>
    </row>
    <row r="381">
      <c r="D381">
        <f>IF(C381="","",YEAR(C381)&amp;"-Q"&amp;ROUNDUP(MONTH(C381)/3,0))</f>
        <v/>
      </c>
      <c r="M381">
        <f>IF(B381="M&amp;A",N(H381),N(I381))</f>
        <v/>
      </c>
    </row>
    <row r="382">
      <c r="D382">
        <f>IF(C382="","",YEAR(C382)&amp;"-Q"&amp;ROUNDUP(MONTH(C382)/3,0))</f>
        <v/>
      </c>
      <c r="M382">
        <f>IF(B382="M&amp;A",N(H382),N(I382))</f>
        <v/>
      </c>
    </row>
    <row r="383">
      <c r="D383">
        <f>IF(C383="","",YEAR(C383)&amp;"-Q"&amp;ROUNDUP(MONTH(C383)/3,0))</f>
        <v/>
      </c>
      <c r="M383">
        <f>IF(B383="M&amp;A",N(H383),N(I383))</f>
        <v/>
      </c>
    </row>
    <row r="384">
      <c r="D384">
        <f>IF(C384="","",YEAR(C384)&amp;"-Q"&amp;ROUNDUP(MONTH(C384)/3,0))</f>
        <v/>
      </c>
      <c r="M384">
        <f>IF(B384="M&amp;A",N(H384),N(I384))</f>
        <v/>
      </c>
    </row>
    <row r="385">
      <c r="D385">
        <f>IF(C385="","",YEAR(C385)&amp;"-Q"&amp;ROUNDUP(MONTH(C385)/3,0))</f>
        <v/>
      </c>
      <c r="M385">
        <f>IF(B385="M&amp;A",N(H385),N(I385))</f>
        <v/>
      </c>
    </row>
    <row r="386">
      <c r="D386">
        <f>IF(C386="","",YEAR(C386)&amp;"-Q"&amp;ROUNDUP(MONTH(C386)/3,0))</f>
        <v/>
      </c>
      <c r="M386">
        <f>IF(B386="M&amp;A",N(H386),N(I386))</f>
        <v/>
      </c>
    </row>
    <row r="387">
      <c r="D387">
        <f>IF(C387="","",YEAR(C387)&amp;"-Q"&amp;ROUNDUP(MONTH(C387)/3,0))</f>
        <v/>
      </c>
      <c r="M387">
        <f>IF(B387="M&amp;A",N(H387),N(I387))</f>
        <v/>
      </c>
    </row>
    <row r="388">
      <c r="D388">
        <f>IF(C388="","",YEAR(C388)&amp;"-Q"&amp;ROUNDUP(MONTH(C388)/3,0))</f>
        <v/>
      </c>
      <c r="M388">
        <f>IF(B388="M&amp;A",N(H388),N(I388))</f>
        <v/>
      </c>
    </row>
    <row r="389">
      <c r="D389">
        <f>IF(C389="","",YEAR(C389)&amp;"-Q"&amp;ROUNDUP(MONTH(C389)/3,0))</f>
        <v/>
      </c>
      <c r="M389">
        <f>IF(B389="M&amp;A",N(H389),N(I389))</f>
        <v/>
      </c>
    </row>
    <row r="390">
      <c r="D390">
        <f>IF(C390="","",YEAR(C390)&amp;"-Q"&amp;ROUNDUP(MONTH(C390)/3,0))</f>
        <v/>
      </c>
      <c r="M390">
        <f>IF(B390="M&amp;A",N(H390),N(I390))</f>
        <v/>
      </c>
    </row>
    <row r="391">
      <c r="D391">
        <f>IF(C391="","",YEAR(C391)&amp;"-Q"&amp;ROUNDUP(MONTH(C391)/3,0))</f>
        <v/>
      </c>
      <c r="M391">
        <f>IF(B391="M&amp;A",N(H391),N(I391))</f>
        <v/>
      </c>
    </row>
    <row r="392">
      <c r="D392">
        <f>IF(C392="","",YEAR(C392)&amp;"-Q"&amp;ROUNDUP(MONTH(C392)/3,0))</f>
        <v/>
      </c>
      <c r="M392">
        <f>IF(B392="M&amp;A",N(H392),N(I392))</f>
        <v/>
      </c>
    </row>
    <row r="393">
      <c r="D393">
        <f>IF(C393="","",YEAR(C393)&amp;"-Q"&amp;ROUNDUP(MONTH(C393)/3,0))</f>
        <v/>
      </c>
      <c r="M393">
        <f>IF(B393="M&amp;A",N(H393),N(I393))</f>
        <v/>
      </c>
    </row>
    <row r="394">
      <c r="D394">
        <f>IF(C394="","",YEAR(C394)&amp;"-Q"&amp;ROUNDUP(MONTH(C394)/3,0))</f>
        <v/>
      </c>
      <c r="M394">
        <f>IF(B394="M&amp;A",N(H394),N(I394))</f>
        <v/>
      </c>
    </row>
    <row r="395">
      <c r="D395">
        <f>IF(C395="","",YEAR(C395)&amp;"-Q"&amp;ROUNDUP(MONTH(C395)/3,0))</f>
        <v/>
      </c>
      <c r="M395">
        <f>IF(B395="M&amp;A",N(H395),N(I395))</f>
        <v/>
      </c>
    </row>
    <row r="396">
      <c r="D396">
        <f>IF(C396="","",YEAR(C396)&amp;"-Q"&amp;ROUNDUP(MONTH(C396)/3,0))</f>
        <v/>
      </c>
      <c r="M396">
        <f>IF(B396="M&amp;A",N(H396),N(I396))</f>
        <v/>
      </c>
    </row>
    <row r="397">
      <c r="D397">
        <f>IF(C397="","",YEAR(C397)&amp;"-Q"&amp;ROUNDUP(MONTH(C397)/3,0))</f>
        <v/>
      </c>
      <c r="M397">
        <f>IF(B397="M&amp;A",N(H397),N(I397))</f>
        <v/>
      </c>
    </row>
    <row r="398">
      <c r="D398">
        <f>IF(C398="","",YEAR(C398)&amp;"-Q"&amp;ROUNDUP(MONTH(C398)/3,0))</f>
        <v/>
      </c>
      <c r="M398">
        <f>IF(B398="M&amp;A",N(H398),N(I398))</f>
        <v/>
      </c>
    </row>
    <row r="399">
      <c r="D399">
        <f>IF(C399="","",YEAR(C399)&amp;"-Q"&amp;ROUNDUP(MONTH(C399)/3,0))</f>
        <v/>
      </c>
      <c r="M399">
        <f>IF(B399="M&amp;A",N(H399),N(I399))</f>
        <v/>
      </c>
    </row>
    <row r="400">
      <c r="D400">
        <f>IF(C400="","",YEAR(C400)&amp;"-Q"&amp;ROUNDUP(MONTH(C400)/3,0))</f>
        <v/>
      </c>
      <c r="M400">
        <f>IF(B400="M&amp;A",N(H400),N(I400))</f>
        <v/>
      </c>
    </row>
    <row r="401">
      <c r="D401">
        <f>IF(C401="","",YEAR(C401)&amp;"-Q"&amp;ROUNDUP(MONTH(C401)/3,0))</f>
        <v/>
      </c>
      <c r="M401">
        <f>IF(B401="M&amp;A",N(H401),N(I401))</f>
        <v/>
      </c>
    </row>
    <row r="402">
      <c r="D402">
        <f>IF(C402="","",YEAR(C402)&amp;"-Q"&amp;ROUNDUP(MONTH(C402)/3,0))</f>
        <v/>
      </c>
      <c r="M402">
        <f>IF(B402="M&amp;A",N(H402),N(I402))</f>
        <v/>
      </c>
    </row>
    <row r="403">
      <c r="D403">
        <f>IF(C403="","",YEAR(C403)&amp;"-Q"&amp;ROUNDUP(MONTH(C403)/3,0))</f>
        <v/>
      </c>
      <c r="M403">
        <f>IF(B403="M&amp;A",N(H403),N(I403))</f>
        <v/>
      </c>
    </row>
    <row r="404">
      <c r="D404">
        <f>IF(C404="","",YEAR(C404)&amp;"-Q"&amp;ROUNDUP(MONTH(C404)/3,0))</f>
        <v/>
      </c>
      <c r="M404">
        <f>IF(B404="M&amp;A",N(H404),N(I404))</f>
        <v/>
      </c>
    </row>
    <row r="405">
      <c r="D405">
        <f>IF(C405="","",YEAR(C405)&amp;"-Q"&amp;ROUNDUP(MONTH(C405)/3,0))</f>
        <v/>
      </c>
      <c r="M405">
        <f>IF(B405="M&amp;A",N(H405),N(I405))</f>
        <v/>
      </c>
    </row>
    <row r="406">
      <c r="D406">
        <f>IF(C406="","",YEAR(C406)&amp;"-Q"&amp;ROUNDUP(MONTH(C406)/3,0))</f>
        <v/>
      </c>
      <c r="M406">
        <f>IF(B406="M&amp;A",N(H406),N(I406))</f>
        <v/>
      </c>
    </row>
    <row r="407">
      <c r="D407">
        <f>IF(C407="","",YEAR(C407)&amp;"-Q"&amp;ROUNDUP(MONTH(C407)/3,0))</f>
        <v/>
      </c>
      <c r="M407">
        <f>IF(B407="M&amp;A",N(H407),N(I407))</f>
        <v/>
      </c>
    </row>
    <row r="408">
      <c r="D408">
        <f>IF(C408="","",YEAR(C408)&amp;"-Q"&amp;ROUNDUP(MONTH(C408)/3,0))</f>
        <v/>
      </c>
      <c r="M408">
        <f>IF(B408="M&amp;A",N(H408),N(I408))</f>
        <v/>
      </c>
    </row>
    <row r="409">
      <c r="D409">
        <f>IF(C409="","",YEAR(C409)&amp;"-Q"&amp;ROUNDUP(MONTH(C409)/3,0))</f>
        <v/>
      </c>
      <c r="M409">
        <f>IF(B409="M&amp;A",N(H409),N(I409))</f>
        <v/>
      </c>
    </row>
    <row r="410">
      <c r="D410">
        <f>IF(C410="","",YEAR(C410)&amp;"-Q"&amp;ROUNDUP(MONTH(C410)/3,0))</f>
        <v/>
      </c>
      <c r="M410">
        <f>IF(B410="M&amp;A",N(H410),N(I410))</f>
        <v/>
      </c>
    </row>
    <row r="411">
      <c r="D411">
        <f>IF(C411="","",YEAR(C411)&amp;"-Q"&amp;ROUNDUP(MONTH(C411)/3,0))</f>
        <v/>
      </c>
      <c r="M411">
        <f>IF(B411="M&amp;A",N(H411),N(I411))</f>
        <v/>
      </c>
    </row>
    <row r="412">
      <c r="D412">
        <f>IF(C412="","",YEAR(C412)&amp;"-Q"&amp;ROUNDUP(MONTH(C412)/3,0))</f>
        <v/>
      </c>
      <c r="M412">
        <f>IF(B412="M&amp;A",N(H412),N(I412))</f>
        <v/>
      </c>
    </row>
    <row r="413">
      <c r="D413">
        <f>IF(C413="","",YEAR(C413)&amp;"-Q"&amp;ROUNDUP(MONTH(C413)/3,0))</f>
        <v/>
      </c>
      <c r="M413">
        <f>IF(B413="M&amp;A",N(H413),N(I413))</f>
        <v/>
      </c>
    </row>
    <row r="414">
      <c r="D414">
        <f>IF(C414="","",YEAR(C414)&amp;"-Q"&amp;ROUNDUP(MONTH(C414)/3,0))</f>
        <v/>
      </c>
      <c r="M414">
        <f>IF(B414="M&amp;A",N(H414),N(I414))</f>
        <v/>
      </c>
    </row>
    <row r="415">
      <c r="D415">
        <f>IF(C415="","",YEAR(C415)&amp;"-Q"&amp;ROUNDUP(MONTH(C415)/3,0))</f>
        <v/>
      </c>
      <c r="M415">
        <f>IF(B415="M&amp;A",N(H415),N(I415))</f>
        <v/>
      </c>
    </row>
    <row r="416">
      <c r="D416">
        <f>IF(C416="","",YEAR(C416)&amp;"-Q"&amp;ROUNDUP(MONTH(C416)/3,0))</f>
        <v/>
      </c>
      <c r="M416">
        <f>IF(B416="M&amp;A",N(H416),N(I416))</f>
        <v/>
      </c>
    </row>
    <row r="417">
      <c r="D417">
        <f>IF(C417="","",YEAR(C417)&amp;"-Q"&amp;ROUNDUP(MONTH(C417)/3,0))</f>
        <v/>
      </c>
      <c r="M417">
        <f>IF(B417="M&amp;A",N(H417),N(I417))</f>
        <v/>
      </c>
    </row>
    <row r="418">
      <c r="D418">
        <f>IF(C418="","",YEAR(C418)&amp;"-Q"&amp;ROUNDUP(MONTH(C418)/3,0))</f>
        <v/>
      </c>
      <c r="M418">
        <f>IF(B418="M&amp;A",N(H418),N(I418))</f>
        <v/>
      </c>
    </row>
    <row r="419">
      <c r="D419">
        <f>IF(C419="","",YEAR(C419)&amp;"-Q"&amp;ROUNDUP(MONTH(C419)/3,0))</f>
        <v/>
      </c>
      <c r="M419">
        <f>IF(B419="M&amp;A",N(H419),N(I419))</f>
        <v/>
      </c>
    </row>
    <row r="420">
      <c r="D420">
        <f>IF(C420="","",YEAR(C420)&amp;"-Q"&amp;ROUNDUP(MONTH(C420)/3,0))</f>
        <v/>
      </c>
      <c r="M420">
        <f>IF(B420="M&amp;A",N(H420),N(I420))</f>
        <v/>
      </c>
    </row>
    <row r="421">
      <c r="D421">
        <f>IF(C421="","",YEAR(C421)&amp;"-Q"&amp;ROUNDUP(MONTH(C421)/3,0))</f>
        <v/>
      </c>
      <c r="M421">
        <f>IF(B421="M&amp;A",N(H421),N(I421))</f>
        <v/>
      </c>
    </row>
    <row r="422">
      <c r="D422">
        <f>IF(C422="","",YEAR(C422)&amp;"-Q"&amp;ROUNDUP(MONTH(C422)/3,0))</f>
        <v/>
      </c>
      <c r="M422">
        <f>IF(B422="M&amp;A",N(H422),N(I422))</f>
        <v/>
      </c>
    </row>
    <row r="423">
      <c r="D423">
        <f>IF(C423="","",YEAR(C423)&amp;"-Q"&amp;ROUNDUP(MONTH(C423)/3,0))</f>
        <v/>
      </c>
      <c r="M423">
        <f>IF(B423="M&amp;A",N(H423),N(I423))</f>
        <v/>
      </c>
    </row>
    <row r="424">
      <c r="D424">
        <f>IF(C424="","",YEAR(C424)&amp;"-Q"&amp;ROUNDUP(MONTH(C424)/3,0))</f>
        <v/>
      </c>
      <c r="M424">
        <f>IF(B424="M&amp;A",N(H424),N(I424))</f>
        <v/>
      </c>
    </row>
    <row r="425">
      <c r="D425">
        <f>IF(C425="","",YEAR(C425)&amp;"-Q"&amp;ROUNDUP(MONTH(C425)/3,0))</f>
        <v/>
      </c>
      <c r="M425">
        <f>IF(B425="M&amp;A",N(H425),N(I425))</f>
        <v/>
      </c>
    </row>
    <row r="426">
      <c r="D426">
        <f>IF(C426="","",YEAR(C426)&amp;"-Q"&amp;ROUNDUP(MONTH(C426)/3,0))</f>
        <v/>
      </c>
      <c r="M426">
        <f>IF(B426="M&amp;A",N(H426),N(I426))</f>
        <v/>
      </c>
    </row>
    <row r="427">
      <c r="D427">
        <f>IF(C427="","",YEAR(C427)&amp;"-Q"&amp;ROUNDUP(MONTH(C427)/3,0))</f>
        <v/>
      </c>
      <c r="M427">
        <f>IF(B427="M&amp;A",N(H427),N(I427))</f>
        <v/>
      </c>
    </row>
    <row r="428">
      <c r="D428">
        <f>IF(C428="","",YEAR(C428)&amp;"-Q"&amp;ROUNDUP(MONTH(C428)/3,0))</f>
        <v/>
      </c>
      <c r="M428">
        <f>IF(B428="M&amp;A",N(H428),N(I428))</f>
        <v/>
      </c>
    </row>
    <row r="429">
      <c r="D429">
        <f>IF(C429="","",YEAR(C429)&amp;"-Q"&amp;ROUNDUP(MONTH(C429)/3,0))</f>
        <v/>
      </c>
      <c r="M429">
        <f>IF(B429="M&amp;A",N(H429),N(I429))</f>
        <v/>
      </c>
    </row>
    <row r="430">
      <c r="D430">
        <f>IF(C430="","",YEAR(C430)&amp;"-Q"&amp;ROUNDUP(MONTH(C430)/3,0))</f>
        <v/>
      </c>
      <c r="M430">
        <f>IF(B430="M&amp;A",N(H430),N(I430))</f>
        <v/>
      </c>
    </row>
    <row r="431">
      <c r="D431">
        <f>IF(C431="","",YEAR(C431)&amp;"-Q"&amp;ROUNDUP(MONTH(C431)/3,0))</f>
        <v/>
      </c>
      <c r="M431">
        <f>IF(B431="M&amp;A",N(H431),N(I431))</f>
        <v/>
      </c>
    </row>
    <row r="432">
      <c r="D432">
        <f>IF(C432="","",YEAR(C432)&amp;"-Q"&amp;ROUNDUP(MONTH(C432)/3,0))</f>
        <v/>
      </c>
      <c r="M432">
        <f>IF(B432="M&amp;A",N(H432),N(I432))</f>
        <v/>
      </c>
    </row>
    <row r="433">
      <c r="D433">
        <f>IF(C433="","",YEAR(C433)&amp;"-Q"&amp;ROUNDUP(MONTH(C433)/3,0))</f>
        <v/>
      </c>
      <c r="M433">
        <f>IF(B433="M&amp;A",N(H433),N(I433))</f>
        <v/>
      </c>
    </row>
    <row r="434">
      <c r="D434">
        <f>IF(C434="","",YEAR(C434)&amp;"-Q"&amp;ROUNDUP(MONTH(C434)/3,0))</f>
        <v/>
      </c>
      <c r="M434">
        <f>IF(B434="M&amp;A",N(H434),N(I434))</f>
        <v/>
      </c>
    </row>
    <row r="435">
      <c r="D435">
        <f>IF(C435="","",YEAR(C435)&amp;"-Q"&amp;ROUNDUP(MONTH(C435)/3,0))</f>
        <v/>
      </c>
      <c r="M435">
        <f>IF(B435="M&amp;A",N(H435),N(I435))</f>
        <v/>
      </c>
    </row>
    <row r="436">
      <c r="D436">
        <f>IF(C436="","",YEAR(C436)&amp;"-Q"&amp;ROUNDUP(MONTH(C436)/3,0))</f>
        <v/>
      </c>
      <c r="M436">
        <f>IF(B436="M&amp;A",N(H436),N(I436))</f>
        <v/>
      </c>
    </row>
    <row r="437">
      <c r="D437">
        <f>IF(C437="","",YEAR(C437)&amp;"-Q"&amp;ROUNDUP(MONTH(C437)/3,0))</f>
        <v/>
      </c>
      <c r="M437">
        <f>IF(B437="M&amp;A",N(H437),N(I437))</f>
        <v/>
      </c>
    </row>
    <row r="438">
      <c r="D438">
        <f>IF(C438="","",YEAR(C438)&amp;"-Q"&amp;ROUNDUP(MONTH(C438)/3,0))</f>
        <v/>
      </c>
      <c r="M438">
        <f>IF(B438="M&amp;A",N(H438),N(I438))</f>
        <v/>
      </c>
    </row>
    <row r="439">
      <c r="D439">
        <f>IF(C439="","",YEAR(C439)&amp;"-Q"&amp;ROUNDUP(MONTH(C439)/3,0))</f>
        <v/>
      </c>
      <c r="M439">
        <f>IF(B439="M&amp;A",N(H439),N(I439))</f>
        <v/>
      </c>
    </row>
    <row r="440">
      <c r="D440">
        <f>IF(C440="","",YEAR(C440)&amp;"-Q"&amp;ROUNDUP(MONTH(C440)/3,0))</f>
        <v/>
      </c>
      <c r="M440">
        <f>IF(B440="M&amp;A",N(H440),N(I440))</f>
        <v/>
      </c>
    </row>
    <row r="441">
      <c r="D441">
        <f>IF(C441="","",YEAR(C441)&amp;"-Q"&amp;ROUNDUP(MONTH(C441)/3,0))</f>
        <v/>
      </c>
      <c r="M441">
        <f>IF(B441="M&amp;A",N(H441),N(I441))</f>
        <v/>
      </c>
    </row>
    <row r="442">
      <c r="D442">
        <f>IF(C442="","",YEAR(C442)&amp;"-Q"&amp;ROUNDUP(MONTH(C442)/3,0))</f>
        <v/>
      </c>
      <c r="M442">
        <f>IF(B442="M&amp;A",N(H442),N(I442))</f>
        <v/>
      </c>
    </row>
    <row r="443">
      <c r="D443">
        <f>IF(C443="","",YEAR(C443)&amp;"-Q"&amp;ROUNDUP(MONTH(C443)/3,0))</f>
        <v/>
      </c>
      <c r="M443">
        <f>IF(B443="M&amp;A",N(H443),N(I443))</f>
        <v/>
      </c>
    </row>
    <row r="444">
      <c r="D444">
        <f>IF(C444="","",YEAR(C444)&amp;"-Q"&amp;ROUNDUP(MONTH(C444)/3,0))</f>
        <v/>
      </c>
      <c r="M444">
        <f>IF(B444="M&amp;A",N(H444),N(I444))</f>
        <v/>
      </c>
    </row>
    <row r="445">
      <c r="D445">
        <f>IF(C445="","",YEAR(C445)&amp;"-Q"&amp;ROUNDUP(MONTH(C445)/3,0))</f>
        <v/>
      </c>
      <c r="M445">
        <f>IF(B445="M&amp;A",N(H445),N(I445))</f>
        <v/>
      </c>
    </row>
    <row r="446">
      <c r="D446">
        <f>IF(C446="","",YEAR(C446)&amp;"-Q"&amp;ROUNDUP(MONTH(C446)/3,0))</f>
        <v/>
      </c>
      <c r="M446">
        <f>IF(B446="M&amp;A",N(H446),N(I446))</f>
        <v/>
      </c>
    </row>
    <row r="447">
      <c r="D447">
        <f>IF(C447="","",YEAR(C447)&amp;"-Q"&amp;ROUNDUP(MONTH(C447)/3,0))</f>
        <v/>
      </c>
      <c r="M447">
        <f>IF(B447="M&amp;A",N(H447),N(I447))</f>
        <v/>
      </c>
    </row>
    <row r="448">
      <c r="D448">
        <f>IF(C448="","",YEAR(C448)&amp;"-Q"&amp;ROUNDUP(MONTH(C448)/3,0))</f>
        <v/>
      </c>
      <c r="M448">
        <f>IF(B448="M&amp;A",N(H448),N(I448))</f>
        <v/>
      </c>
    </row>
    <row r="449">
      <c r="D449">
        <f>IF(C449="","",YEAR(C449)&amp;"-Q"&amp;ROUNDUP(MONTH(C449)/3,0))</f>
        <v/>
      </c>
      <c r="M449">
        <f>IF(B449="M&amp;A",N(H449),N(I449))</f>
        <v/>
      </c>
    </row>
    <row r="450">
      <c r="D450">
        <f>IF(C450="","",YEAR(C450)&amp;"-Q"&amp;ROUNDUP(MONTH(C450)/3,0))</f>
        <v/>
      </c>
      <c r="M450">
        <f>IF(B450="M&amp;A",N(H450),N(I450))</f>
        <v/>
      </c>
    </row>
    <row r="451">
      <c r="D451">
        <f>IF(C451="","",YEAR(C451)&amp;"-Q"&amp;ROUNDUP(MONTH(C451)/3,0))</f>
        <v/>
      </c>
      <c r="M451">
        <f>IF(B451="M&amp;A",N(H451),N(I451))</f>
        <v/>
      </c>
    </row>
    <row r="452">
      <c r="D452">
        <f>IF(C452="","",YEAR(C452)&amp;"-Q"&amp;ROUNDUP(MONTH(C452)/3,0))</f>
        <v/>
      </c>
      <c r="M452">
        <f>IF(B452="M&amp;A",N(H452),N(I452))</f>
        <v/>
      </c>
    </row>
    <row r="453">
      <c r="D453">
        <f>IF(C453="","",YEAR(C453)&amp;"-Q"&amp;ROUNDUP(MONTH(C453)/3,0))</f>
        <v/>
      </c>
      <c r="M453">
        <f>IF(B453="M&amp;A",N(H453),N(I453))</f>
        <v/>
      </c>
    </row>
    <row r="454">
      <c r="D454">
        <f>IF(C454="","",YEAR(C454)&amp;"-Q"&amp;ROUNDUP(MONTH(C454)/3,0))</f>
        <v/>
      </c>
      <c r="M454">
        <f>IF(B454="M&amp;A",N(H454),N(I454))</f>
        <v/>
      </c>
    </row>
    <row r="455">
      <c r="D455">
        <f>IF(C455="","",YEAR(C455)&amp;"-Q"&amp;ROUNDUP(MONTH(C455)/3,0))</f>
        <v/>
      </c>
      <c r="M455">
        <f>IF(B455="M&amp;A",N(H455),N(I455))</f>
        <v/>
      </c>
    </row>
    <row r="456">
      <c r="D456">
        <f>IF(C456="","",YEAR(C456)&amp;"-Q"&amp;ROUNDUP(MONTH(C456)/3,0))</f>
        <v/>
      </c>
      <c r="M456">
        <f>IF(B456="M&amp;A",N(H456),N(I456))</f>
        <v/>
      </c>
    </row>
    <row r="457">
      <c r="D457">
        <f>IF(C457="","",YEAR(C457)&amp;"-Q"&amp;ROUNDUP(MONTH(C457)/3,0))</f>
        <v/>
      </c>
      <c r="M457">
        <f>IF(B457="M&amp;A",N(H457),N(I457))</f>
        <v/>
      </c>
    </row>
    <row r="458">
      <c r="D458">
        <f>IF(C458="","",YEAR(C458)&amp;"-Q"&amp;ROUNDUP(MONTH(C458)/3,0))</f>
        <v/>
      </c>
      <c r="M458">
        <f>IF(B458="M&amp;A",N(H458),N(I458))</f>
        <v/>
      </c>
    </row>
    <row r="459">
      <c r="D459">
        <f>IF(C459="","",YEAR(C459)&amp;"-Q"&amp;ROUNDUP(MONTH(C459)/3,0))</f>
        <v/>
      </c>
      <c r="M459">
        <f>IF(B459="M&amp;A",N(H459),N(I459))</f>
        <v/>
      </c>
    </row>
    <row r="460">
      <c r="D460">
        <f>IF(C460="","",YEAR(C460)&amp;"-Q"&amp;ROUNDUP(MONTH(C460)/3,0))</f>
        <v/>
      </c>
      <c r="M460">
        <f>IF(B460="M&amp;A",N(H460),N(I460))</f>
        <v/>
      </c>
    </row>
    <row r="461">
      <c r="D461">
        <f>IF(C461="","",YEAR(C461)&amp;"-Q"&amp;ROUNDUP(MONTH(C461)/3,0))</f>
        <v/>
      </c>
      <c r="M461">
        <f>IF(B461="M&amp;A",N(H461),N(I461))</f>
        <v/>
      </c>
    </row>
    <row r="462">
      <c r="D462">
        <f>IF(C462="","",YEAR(C462)&amp;"-Q"&amp;ROUNDUP(MONTH(C462)/3,0))</f>
        <v/>
      </c>
      <c r="M462">
        <f>IF(B462="M&amp;A",N(H462),N(I462))</f>
        <v/>
      </c>
    </row>
    <row r="463">
      <c r="D463">
        <f>IF(C463="","",YEAR(C463)&amp;"-Q"&amp;ROUNDUP(MONTH(C463)/3,0))</f>
        <v/>
      </c>
      <c r="M463">
        <f>IF(B463="M&amp;A",N(H463),N(I463))</f>
        <v/>
      </c>
    </row>
    <row r="464">
      <c r="D464">
        <f>IF(C464="","",YEAR(C464)&amp;"-Q"&amp;ROUNDUP(MONTH(C464)/3,0))</f>
        <v/>
      </c>
      <c r="M464">
        <f>IF(B464="M&amp;A",N(H464),N(I464))</f>
        <v/>
      </c>
    </row>
    <row r="465">
      <c r="D465">
        <f>IF(C465="","",YEAR(C465)&amp;"-Q"&amp;ROUNDUP(MONTH(C465)/3,0))</f>
        <v/>
      </c>
      <c r="M465">
        <f>IF(B465="M&amp;A",N(H465),N(I465))</f>
        <v/>
      </c>
    </row>
    <row r="466">
      <c r="D466">
        <f>IF(C466="","",YEAR(C466)&amp;"-Q"&amp;ROUNDUP(MONTH(C466)/3,0))</f>
        <v/>
      </c>
      <c r="M466">
        <f>IF(B466="M&amp;A",N(H466),N(I466))</f>
        <v/>
      </c>
    </row>
    <row r="467">
      <c r="D467">
        <f>IF(C467="","",YEAR(C467)&amp;"-Q"&amp;ROUNDUP(MONTH(C467)/3,0))</f>
        <v/>
      </c>
      <c r="M467">
        <f>IF(B467="M&amp;A",N(H467),N(I467))</f>
        <v/>
      </c>
    </row>
    <row r="468">
      <c r="D468">
        <f>IF(C468="","",YEAR(C468)&amp;"-Q"&amp;ROUNDUP(MONTH(C468)/3,0))</f>
        <v/>
      </c>
      <c r="M468">
        <f>IF(B468="M&amp;A",N(H468),N(I468))</f>
        <v/>
      </c>
    </row>
    <row r="469">
      <c r="D469">
        <f>IF(C469="","",YEAR(C469)&amp;"-Q"&amp;ROUNDUP(MONTH(C469)/3,0))</f>
        <v/>
      </c>
      <c r="M469">
        <f>IF(B469="M&amp;A",N(H469),N(I469))</f>
        <v/>
      </c>
    </row>
    <row r="470">
      <c r="D470">
        <f>IF(C470="","",YEAR(C470)&amp;"-Q"&amp;ROUNDUP(MONTH(C470)/3,0))</f>
        <v/>
      </c>
      <c r="M470">
        <f>IF(B470="M&amp;A",N(H470),N(I470))</f>
        <v/>
      </c>
    </row>
    <row r="471">
      <c r="D471">
        <f>IF(C471="","",YEAR(C471)&amp;"-Q"&amp;ROUNDUP(MONTH(C471)/3,0))</f>
        <v/>
      </c>
      <c r="M471">
        <f>IF(B471="M&amp;A",N(H471),N(I471))</f>
        <v/>
      </c>
    </row>
    <row r="472">
      <c r="D472">
        <f>IF(C472="","",YEAR(C472)&amp;"-Q"&amp;ROUNDUP(MONTH(C472)/3,0))</f>
        <v/>
      </c>
      <c r="M472">
        <f>IF(B472="M&amp;A",N(H472),N(I472))</f>
        <v/>
      </c>
    </row>
    <row r="473">
      <c r="D473">
        <f>IF(C473="","",YEAR(C473)&amp;"-Q"&amp;ROUNDUP(MONTH(C473)/3,0))</f>
        <v/>
      </c>
      <c r="M473">
        <f>IF(B473="M&amp;A",N(H473),N(I473))</f>
        <v/>
      </c>
    </row>
    <row r="474">
      <c r="D474">
        <f>IF(C474="","",YEAR(C474)&amp;"-Q"&amp;ROUNDUP(MONTH(C474)/3,0))</f>
        <v/>
      </c>
      <c r="M474">
        <f>IF(B474="M&amp;A",N(H474),N(I474))</f>
        <v/>
      </c>
    </row>
    <row r="475">
      <c r="D475">
        <f>IF(C475="","",YEAR(C475)&amp;"-Q"&amp;ROUNDUP(MONTH(C475)/3,0))</f>
        <v/>
      </c>
      <c r="M475">
        <f>IF(B475="M&amp;A",N(H475),N(I475))</f>
        <v/>
      </c>
    </row>
    <row r="476">
      <c r="D476">
        <f>IF(C476="","",YEAR(C476)&amp;"-Q"&amp;ROUNDUP(MONTH(C476)/3,0))</f>
        <v/>
      </c>
      <c r="M476">
        <f>IF(B476="M&amp;A",N(H476),N(I476))</f>
        <v/>
      </c>
    </row>
    <row r="477">
      <c r="D477">
        <f>IF(C477="","",YEAR(C477)&amp;"-Q"&amp;ROUNDUP(MONTH(C477)/3,0))</f>
        <v/>
      </c>
      <c r="M477">
        <f>IF(B477="M&amp;A",N(H477),N(I477))</f>
        <v/>
      </c>
    </row>
    <row r="478">
      <c r="D478">
        <f>IF(C478="","",YEAR(C478)&amp;"-Q"&amp;ROUNDUP(MONTH(C478)/3,0))</f>
        <v/>
      </c>
      <c r="M478">
        <f>IF(B478="M&amp;A",N(H478),N(I478))</f>
        <v/>
      </c>
    </row>
    <row r="479">
      <c r="D479">
        <f>IF(C479="","",YEAR(C479)&amp;"-Q"&amp;ROUNDUP(MONTH(C479)/3,0))</f>
        <v/>
      </c>
      <c r="M479">
        <f>IF(B479="M&amp;A",N(H479),N(I479))</f>
        <v/>
      </c>
    </row>
    <row r="480">
      <c r="D480">
        <f>IF(C480="","",YEAR(C480)&amp;"-Q"&amp;ROUNDUP(MONTH(C480)/3,0))</f>
        <v/>
      </c>
      <c r="M480">
        <f>IF(B480="M&amp;A",N(H480),N(I480))</f>
        <v/>
      </c>
    </row>
    <row r="481">
      <c r="D481">
        <f>IF(C481="","",YEAR(C481)&amp;"-Q"&amp;ROUNDUP(MONTH(C481)/3,0))</f>
        <v/>
      </c>
      <c r="M481">
        <f>IF(B481="M&amp;A",N(H481),N(I481))</f>
        <v/>
      </c>
    </row>
    <row r="482">
      <c r="D482">
        <f>IF(C482="","",YEAR(C482)&amp;"-Q"&amp;ROUNDUP(MONTH(C482)/3,0))</f>
        <v/>
      </c>
      <c r="M482">
        <f>IF(B482="M&amp;A",N(H482),N(I482))</f>
        <v/>
      </c>
    </row>
    <row r="483">
      <c r="D483">
        <f>IF(C483="","",YEAR(C483)&amp;"-Q"&amp;ROUNDUP(MONTH(C483)/3,0))</f>
        <v/>
      </c>
      <c r="M483">
        <f>IF(B483="M&amp;A",N(H483),N(I483))</f>
        <v/>
      </c>
    </row>
    <row r="484">
      <c r="D484">
        <f>IF(C484="","",YEAR(C484)&amp;"-Q"&amp;ROUNDUP(MONTH(C484)/3,0))</f>
        <v/>
      </c>
      <c r="M484">
        <f>IF(B484="M&amp;A",N(H484),N(I484))</f>
        <v/>
      </c>
    </row>
    <row r="485">
      <c r="D485">
        <f>IF(C485="","",YEAR(C485)&amp;"-Q"&amp;ROUNDUP(MONTH(C485)/3,0))</f>
        <v/>
      </c>
      <c r="M485">
        <f>IF(B485="M&amp;A",N(H485),N(I485))</f>
        <v/>
      </c>
    </row>
    <row r="486">
      <c r="D486">
        <f>IF(C486="","",YEAR(C486)&amp;"-Q"&amp;ROUNDUP(MONTH(C486)/3,0))</f>
        <v/>
      </c>
      <c r="M486">
        <f>IF(B486="M&amp;A",N(H486),N(I486))</f>
        <v/>
      </c>
    </row>
    <row r="487">
      <c r="D487">
        <f>IF(C487="","",YEAR(C487)&amp;"-Q"&amp;ROUNDUP(MONTH(C487)/3,0))</f>
        <v/>
      </c>
      <c r="M487">
        <f>IF(B487="M&amp;A",N(H487),N(I487))</f>
        <v/>
      </c>
    </row>
    <row r="488">
      <c r="D488">
        <f>IF(C488="","",YEAR(C488)&amp;"-Q"&amp;ROUNDUP(MONTH(C488)/3,0))</f>
        <v/>
      </c>
      <c r="M488">
        <f>IF(B488="M&amp;A",N(H488),N(I488))</f>
        <v/>
      </c>
    </row>
    <row r="489">
      <c r="D489">
        <f>IF(C489="","",YEAR(C489)&amp;"-Q"&amp;ROUNDUP(MONTH(C489)/3,0))</f>
        <v/>
      </c>
      <c r="M489">
        <f>IF(B489="M&amp;A",N(H489),N(I489))</f>
        <v/>
      </c>
    </row>
    <row r="490">
      <c r="D490">
        <f>IF(C490="","",YEAR(C490)&amp;"-Q"&amp;ROUNDUP(MONTH(C490)/3,0))</f>
        <v/>
      </c>
      <c r="M490">
        <f>IF(B490="M&amp;A",N(H490),N(I490))</f>
        <v/>
      </c>
    </row>
    <row r="491">
      <c r="D491">
        <f>IF(C491="","",YEAR(C491)&amp;"-Q"&amp;ROUNDUP(MONTH(C491)/3,0))</f>
        <v/>
      </c>
      <c r="M491">
        <f>IF(B491="M&amp;A",N(H491),N(I491))</f>
        <v/>
      </c>
    </row>
    <row r="492">
      <c r="D492">
        <f>IF(C492="","",YEAR(C492)&amp;"-Q"&amp;ROUNDUP(MONTH(C492)/3,0))</f>
        <v/>
      </c>
      <c r="M492">
        <f>IF(B492="M&amp;A",N(H492),N(I492))</f>
        <v/>
      </c>
    </row>
    <row r="493">
      <c r="D493">
        <f>IF(C493="","",YEAR(C493)&amp;"-Q"&amp;ROUNDUP(MONTH(C493)/3,0))</f>
        <v/>
      </c>
      <c r="M493">
        <f>IF(B493="M&amp;A",N(H493),N(I493))</f>
        <v/>
      </c>
    </row>
    <row r="494">
      <c r="D494">
        <f>IF(C494="","",YEAR(C494)&amp;"-Q"&amp;ROUNDUP(MONTH(C494)/3,0))</f>
        <v/>
      </c>
      <c r="M494">
        <f>IF(B494="M&amp;A",N(H494),N(I494))</f>
        <v/>
      </c>
    </row>
    <row r="495">
      <c r="D495">
        <f>IF(C495="","",YEAR(C495)&amp;"-Q"&amp;ROUNDUP(MONTH(C495)/3,0))</f>
        <v/>
      </c>
      <c r="M495">
        <f>IF(B495="M&amp;A",N(H495),N(I495))</f>
        <v/>
      </c>
    </row>
    <row r="496">
      <c r="D496">
        <f>IF(C496="","",YEAR(C496)&amp;"-Q"&amp;ROUNDUP(MONTH(C496)/3,0))</f>
        <v/>
      </c>
      <c r="M496">
        <f>IF(B496="M&amp;A",N(H496),N(I496))</f>
        <v/>
      </c>
    </row>
    <row r="497">
      <c r="D497">
        <f>IF(C497="","",YEAR(C497)&amp;"-Q"&amp;ROUNDUP(MONTH(C497)/3,0))</f>
        <v/>
      </c>
      <c r="M497">
        <f>IF(B497="M&amp;A",N(H497),N(I497))</f>
        <v/>
      </c>
    </row>
    <row r="498">
      <c r="D498">
        <f>IF(C498="","",YEAR(C498)&amp;"-Q"&amp;ROUNDUP(MONTH(C498)/3,0))</f>
        <v/>
      </c>
      <c r="M498">
        <f>IF(B498="M&amp;A",N(H498),N(I498))</f>
        <v/>
      </c>
    </row>
    <row r="499">
      <c r="D499">
        <f>IF(C499="","",YEAR(C499)&amp;"-Q"&amp;ROUNDUP(MONTH(C499)/3,0))</f>
        <v/>
      </c>
      <c r="M499">
        <f>IF(B499="M&amp;A",N(H499),N(I499))</f>
        <v/>
      </c>
    </row>
    <row r="500">
      <c r="D500">
        <f>IF(C500="","",YEAR(C500)&amp;"-Q"&amp;ROUNDUP(MONTH(C500)/3,0))</f>
        <v/>
      </c>
      <c r="M500">
        <f>IF(B500="M&amp;A",N(H500),N(I500))</f>
        <v/>
      </c>
    </row>
    <row r="501">
      <c r="D501">
        <f>IF(C501="","",YEAR(C501)&amp;"-Q"&amp;ROUNDUP(MONTH(C501)/3,0))</f>
        <v/>
      </c>
      <c r="M501">
        <f>IF(B501="M&amp;A",N(H501),N(I501))</f>
        <v/>
      </c>
    </row>
    <row r="502">
      <c r="D502">
        <f>IF(C502="","",YEAR(C502)&amp;"-Q"&amp;ROUNDUP(MONTH(C502)/3,0))</f>
        <v/>
      </c>
      <c r="M502">
        <f>IF(B502="M&amp;A",N(H502),N(I502))</f>
        <v/>
      </c>
    </row>
    <row r="503">
      <c r="D503">
        <f>IF(C503="","",YEAR(C503)&amp;"-Q"&amp;ROUNDUP(MONTH(C503)/3,0))</f>
        <v/>
      </c>
      <c r="M503">
        <f>IF(B503="M&amp;A",N(H503),N(I503))</f>
        <v/>
      </c>
    </row>
    <row r="504">
      <c r="D504">
        <f>IF(C504="","",YEAR(C504)&amp;"-Q"&amp;ROUNDUP(MONTH(C504)/3,0))</f>
        <v/>
      </c>
      <c r="M504">
        <f>IF(B504="M&amp;A",N(H504),N(I504))</f>
        <v/>
      </c>
    </row>
    <row r="505">
      <c r="D505">
        <f>IF(C505="","",YEAR(C505)&amp;"-Q"&amp;ROUNDUP(MONTH(C505)/3,0))</f>
        <v/>
      </c>
      <c r="M505">
        <f>IF(B505="M&amp;A",N(H505),N(I505))</f>
        <v/>
      </c>
    </row>
    <row r="506">
      <c r="D506">
        <f>IF(C506="","",YEAR(C506)&amp;"-Q"&amp;ROUNDUP(MONTH(C506)/3,0))</f>
        <v/>
      </c>
      <c r="M506">
        <f>IF(B506="M&amp;A",N(H506),N(I506))</f>
        <v/>
      </c>
    </row>
    <row r="507">
      <c r="D507">
        <f>IF(C507="","",YEAR(C507)&amp;"-Q"&amp;ROUNDUP(MONTH(C507)/3,0))</f>
        <v/>
      </c>
      <c r="M507">
        <f>IF(B507="M&amp;A",N(H507),N(I507))</f>
        <v/>
      </c>
    </row>
    <row r="508">
      <c r="D508">
        <f>IF(C508="","",YEAR(C508)&amp;"-Q"&amp;ROUNDUP(MONTH(C508)/3,0))</f>
        <v/>
      </c>
      <c r="M508">
        <f>IF(B508="M&amp;A",N(H508),N(I508))</f>
        <v/>
      </c>
    </row>
    <row r="509">
      <c r="D509">
        <f>IF(C509="","",YEAR(C509)&amp;"-Q"&amp;ROUNDUP(MONTH(C509)/3,0))</f>
        <v/>
      </c>
      <c r="M509">
        <f>IF(B509="M&amp;A",N(H509),N(I509))</f>
        <v/>
      </c>
    </row>
    <row r="510">
      <c r="D510">
        <f>IF(C510="","",YEAR(C510)&amp;"-Q"&amp;ROUNDUP(MONTH(C510)/3,0))</f>
        <v/>
      </c>
      <c r="M510">
        <f>IF(B510="M&amp;A",N(H510),N(I510))</f>
        <v/>
      </c>
    </row>
    <row r="511">
      <c r="D511">
        <f>IF(C511="","",YEAR(C511)&amp;"-Q"&amp;ROUNDUP(MONTH(C511)/3,0))</f>
        <v/>
      </c>
      <c r="M511">
        <f>IF(B511="M&amp;A",N(H511),N(I511))</f>
        <v/>
      </c>
    </row>
    <row r="512">
      <c r="D512">
        <f>IF(C512="","",YEAR(C512)&amp;"-Q"&amp;ROUNDUP(MONTH(C512)/3,0))</f>
        <v/>
      </c>
      <c r="M512">
        <f>IF(B512="M&amp;A",N(H512),N(I512))</f>
        <v/>
      </c>
    </row>
    <row r="513">
      <c r="D513">
        <f>IF(C513="","",YEAR(C513)&amp;"-Q"&amp;ROUNDUP(MONTH(C513)/3,0))</f>
        <v/>
      </c>
      <c r="M513">
        <f>IF(B513="M&amp;A",N(H513),N(I513))</f>
        <v/>
      </c>
    </row>
    <row r="514">
      <c r="D514">
        <f>IF(C514="","",YEAR(C514)&amp;"-Q"&amp;ROUNDUP(MONTH(C514)/3,0))</f>
        <v/>
      </c>
      <c r="M514">
        <f>IF(B514="M&amp;A",N(H514),N(I514))</f>
        <v/>
      </c>
    </row>
    <row r="515">
      <c r="D515">
        <f>IF(C515="","",YEAR(C515)&amp;"-Q"&amp;ROUNDUP(MONTH(C515)/3,0))</f>
        <v/>
      </c>
      <c r="M515">
        <f>IF(B515="M&amp;A",N(H515),N(I515))</f>
        <v/>
      </c>
    </row>
    <row r="516">
      <c r="D516">
        <f>IF(C516="","",YEAR(C516)&amp;"-Q"&amp;ROUNDUP(MONTH(C516)/3,0))</f>
        <v/>
      </c>
      <c r="M516">
        <f>IF(B516="M&amp;A",N(H516),N(I516))</f>
        <v/>
      </c>
    </row>
    <row r="517">
      <c r="D517">
        <f>IF(C517="","",YEAR(C517)&amp;"-Q"&amp;ROUNDUP(MONTH(C517)/3,0))</f>
        <v/>
      </c>
      <c r="M517">
        <f>IF(B517="M&amp;A",N(H517),N(I517))</f>
        <v/>
      </c>
    </row>
    <row r="518">
      <c r="D518">
        <f>IF(C518="","",YEAR(C518)&amp;"-Q"&amp;ROUNDUP(MONTH(C518)/3,0))</f>
        <v/>
      </c>
      <c r="M518">
        <f>IF(B518="M&amp;A",N(H518),N(I518))</f>
        <v/>
      </c>
    </row>
    <row r="519">
      <c r="D519">
        <f>IF(C519="","",YEAR(C519)&amp;"-Q"&amp;ROUNDUP(MONTH(C519)/3,0))</f>
        <v/>
      </c>
      <c r="M519">
        <f>IF(B519="M&amp;A",N(H519),N(I519))</f>
        <v/>
      </c>
    </row>
    <row r="520">
      <c r="D520">
        <f>IF(C520="","",YEAR(C520)&amp;"-Q"&amp;ROUNDUP(MONTH(C520)/3,0))</f>
        <v/>
      </c>
      <c r="M520">
        <f>IF(B520="M&amp;A",N(H520),N(I520))</f>
        <v/>
      </c>
    </row>
    <row r="521">
      <c r="D521">
        <f>IF(C521="","",YEAR(C521)&amp;"-Q"&amp;ROUNDUP(MONTH(C521)/3,0))</f>
        <v/>
      </c>
      <c r="M521">
        <f>IF(B521="M&amp;A",N(H521),N(I521))</f>
        <v/>
      </c>
    </row>
    <row r="522">
      <c r="D522">
        <f>IF(C522="","",YEAR(C522)&amp;"-Q"&amp;ROUNDUP(MONTH(C522)/3,0))</f>
        <v/>
      </c>
      <c r="M522">
        <f>IF(B522="M&amp;A",N(H522),N(I522))</f>
        <v/>
      </c>
    </row>
    <row r="523">
      <c r="D523">
        <f>IF(C523="","",YEAR(C523)&amp;"-Q"&amp;ROUNDUP(MONTH(C523)/3,0))</f>
        <v/>
      </c>
      <c r="M523">
        <f>IF(B523="M&amp;A",N(H523),N(I523))</f>
        <v/>
      </c>
    </row>
    <row r="524">
      <c r="D524">
        <f>IF(C524="","",YEAR(C524)&amp;"-Q"&amp;ROUNDUP(MONTH(C524)/3,0))</f>
        <v/>
      </c>
      <c r="M524">
        <f>IF(B524="M&amp;A",N(H524),N(I524))</f>
        <v/>
      </c>
    </row>
    <row r="525">
      <c r="D525">
        <f>IF(C525="","",YEAR(C525)&amp;"-Q"&amp;ROUNDUP(MONTH(C525)/3,0))</f>
        <v/>
      </c>
      <c r="M525">
        <f>IF(B525="M&amp;A",N(H525),N(I525))</f>
        <v/>
      </c>
    </row>
    <row r="526">
      <c r="D526">
        <f>IF(C526="","",YEAR(C526)&amp;"-Q"&amp;ROUNDUP(MONTH(C526)/3,0))</f>
        <v/>
      </c>
      <c r="M526">
        <f>IF(B526="M&amp;A",N(H526),N(I526))</f>
        <v/>
      </c>
    </row>
    <row r="527">
      <c r="D527">
        <f>IF(C527="","",YEAR(C527)&amp;"-Q"&amp;ROUNDUP(MONTH(C527)/3,0))</f>
        <v/>
      </c>
      <c r="M527">
        <f>IF(B527="M&amp;A",N(H527),N(I527))</f>
        <v/>
      </c>
    </row>
    <row r="528">
      <c r="D528">
        <f>IF(C528="","",YEAR(C528)&amp;"-Q"&amp;ROUNDUP(MONTH(C528)/3,0))</f>
        <v/>
      </c>
      <c r="M528">
        <f>IF(B528="M&amp;A",N(H528),N(I528))</f>
        <v/>
      </c>
    </row>
    <row r="529">
      <c r="D529">
        <f>IF(C529="","",YEAR(C529)&amp;"-Q"&amp;ROUNDUP(MONTH(C529)/3,0))</f>
        <v/>
      </c>
      <c r="M529">
        <f>IF(B529="M&amp;A",N(H529),N(I529))</f>
        <v/>
      </c>
    </row>
    <row r="530">
      <c r="D530">
        <f>IF(C530="","",YEAR(C530)&amp;"-Q"&amp;ROUNDUP(MONTH(C530)/3,0))</f>
        <v/>
      </c>
      <c r="M530">
        <f>IF(B530="M&amp;A",N(H530),N(I530))</f>
        <v/>
      </c>
    </row>
    <row r="531">
      <c r="D531">
        <f>IF(C531="","",YEAR(C531)&amp;"-Q"&amp;ROUNDUP(MONTH(C531)/3,0))</f>
        <v/>
      </c>
      <c r="M531">
        <f>IF(B531="M&amp;A",N(H531),N(I531))</f>
        <v/>
      </c>
    </row>
    <row r="532">
      <c r="D532">
        <f>IF(C532="","",YEAR(C532)&amp;"-Q"&amp;ROUNDUP(MONTH(C532)/3,0))</f>
        <v/>
      </c>
      <c r="M532">
        <f>IF(B532="M&amp;A",N(H532),N(I532))</f>
        <v/>
      </c>
    </row>
    <row r="533">
      <c r="D533">
        <f>IF(C533="","",YEAR(C533)&amp;"-Q"&amp;ROUNDUP(MONTH(C533)/3,0))</f>
        <v/>
      </c>
      <c r="M533">
        <f>IF(B533="M&amp;A",N(H533),N(I533))</f>
        <v/>
      </c>
    </row>
    <row r="534">
      <c r="D534">
        <f>IF(C534="","",YEAR(C534)&amp;"-Q"&amp;ROUNDUP(MONTH(C534)/3,0))</f>
        <v/>
      </c>
      <c r="M534">
        <f>IF(B534="M&amp;A",N(H534),N(I534))</f>
        <v/>
      </c>
    </row>
    <row r="535">
      <c r="D535">
        <f>IF(C535="","",YEAR(C535)&amp;"-Q"&amp;ROUNDUP(MONTH(C535)/3,0))</f>
        <v/>
      </c>
      <c r="M535">
        <f>IF(B535="M&amp;A",N(H535),N(I535))</f>
        <v/>
      </c>
    </row>
    <row r="536">
      <c r="D536">
        <f>IF(C536="","",YEAR(C536)&amp;"-Q"&amp;ROUNDUP(MONTH(C536)/3,0))</f>
        <v/>
      </c>
      <c r="M536">
        <f>IF(B536="M&amp;A",N(H536),N(I536))</f>
        <v/>
      </c>
    </row>
    <row r="537">
      <c r="D537">
        <f>IF(C537="","",YEAR(C537)&amp;"-Q"&amp;ROUNDUP(MONTH(C537)/3,0))</f>
        <v/>
      </c>
      <c r="M537">
        <f>IF(B537="M&amp;A",N(H537),N(I537))</f>
        <v/>
      </c>
    </row>
    <row r="538">
      <c r="D538">
        <f>IF(C538="","",YEAR(C538)&amp;"-Q"&amp;ROUNDUP(MONTH(C538)/3,0))</f>
        <v/>
      </c>
      <c r="M538">
        <f>IF(B538="M&amp;A",N(H538),N(I538))</f>
        <v/>
      </c>
    </row>
    <row r="539">
      <c r="D539">
        <f>IF(C539="","",YEAR(C539)&amp;"-Q"&amp;ROUNDUP(MONTH(C539)/3,0))</f>
        <v/>
      </c>
      <c r="M539">
        <f>IF(B539="M&amp;A",N(H539),N(I539))</f>
        <v/>
      </c>
    </row>
    <row r="540">
      <c r="D540">
        <f>IF(C540="","",YEAR(C540)&amp;"-Q"&amp;ROUNDUP(MONTH(C540)/3,0))</f>
        <v/>
      </c>
      <c r="M540">
        <f>IF(B540="M&amp;A",N(H540),N(I540))</f>
        <v/>
      </c>
    </row>
    <row r="541">
      <c r="D541">
        <f>IF(C541="","",YEAR(C541)&amp;"-Q"&amp;ROUNDUP(MONTH(C541)/3,0))</f>
        <v/>
      </c>
      <c r="M541">
        <f>IF(B541="M&amp;A",N(H541),N(I541))</f>
        <v/>
      </c>
    </row>
    <row r="542">
      <c r="D542">
        <f>IF(C542="","",YEAR(C542)&amp;"-Q"&amp;ROUNDUP(MONTH(C542)/3,0))</f>
        <v/>
      </c>
      <c r="M542">
        <f>IF(B542="M&amp;A",N(H542),N(I542))</f>
        <v/>
      </c>
    </row>
    <row r="543">
      <c r="D543">
        <f>IF(C543="","",YEAR(C543)&amp;"-Q"&amp;ROUNDUP(MONTH(C543)/3,0))</f>
        <v/>
      </c>
      <c r="M543">
        <f>IF(B543="M&amp;A",N(H543),N(I543))</f>
        <v/>
      </c>
    </row>
    <row r="544">
      <c r="D544">
        <f>IF(C544="","",YEAR(C544)&amp;"-Q"&amp;ROUNDUP(MONTH(C544)/3,0))</f>
        <v/>
      </c>
      <c r="M544">
        <f>IF(B544="M&amp;A",N(H544),N(I544))</f>
        <v/>
      </c>
    </row>
    <row r="545">
      <c r="D545">
        <f>IF(C545="","",YEAR(C545)&amp;"-Q"&amp;ROUNDUP(MONTH(C545)/3,0))</f>
        <v/>
      </c>
      <c r="M545">
        <f>IF(B545="M&amp;A",N(H545),N(I545))</f>
        <v/>
      </c>
    </row>
    <row r="546">
      <c r="D546">
        <f>IF(C546="","",YEAR(C546)&amp;"-Q"&amp;ROUNDUP(MONTH(C546)/3,0))</f>
        <v/>
      </c>
      <c r="M546">
        <f>IF(B546="M&amp;A",N(H546),N(I546))</f>
        <v/>
      </c>
    </row>
    <row r="547">
      <c r="D547">
        <f>IF(C547="","",YEAR(C547)&amp;"-Q"&amp;ROUNDUP(MONTH(C547)/3,0))</f>
        <v/>
      </c>
      <c r="M547">
        <f>IF(B547="M&amp;A",N(H547),N(I547))</f>
        <v/>
      </c>
    </row>
    <row r="548">
      <c r="D548">
        <f>IF(C548="","",YEAR(C548)&amp;"-Q"&amp;ROUNDUP(MONTH(C548)/3,0))</f>
        <v/>
      </c>
      <c r="M548">
        <f>IF(B548="M&amp;A",N(H548),N(I548))</f>
        <v/>
      </c>
    </row>
    <row r="549">
      <c r="D549">
        <f>IF(C549="","",YEAR(C549)&amp;"-Q"&amp;ROUNDUP(MONTH(C549)/3,0))</f>
        <v/>
      </c>
      <c r="M549">
        <f>IF(B549="M&amp;A",N(H549),N(I549))</f>
        <v/>
      </c>
    </row>
    <row r="550">
      <c r="D550">
        <f>IF(C550="","",YEAR(C550)&amp;"-Q"&amp;ROUNDUP(MONTH(C550)/3,0))</f>
        <v/>
      </c>
      <c r="M550">
        <f>IF(B550="M&amp;A",N(H550),N(I550))</f>
        <v/>
      </c>
    </row>
    <row r="551">
      <c r="D551">
        <f>IF(C551="","",YEAR(C551)&amp;"-Q"&amp;ROUNDUP(MONTH(C551)/3,0))</f>
        <v/>
      </c>
      <c r="M551">
        <f>IF(B551="M&amp;A",N(H551),N(I551))</f>
        <v/>
      </c>
    </row>
    <row r="552">
      <c r="D552">
        <f>IF(C552="","",YEAR(C552)&amp;"-Q"&amp;ROUNDUP(MONTH(C552)/3,0))</f>
        <v/>
      </c>
      <c r="M552">
        <f>IF(B552="M&amp;A",N(H552),N(I552))</f>
        <v/>
      </c>
    </row>
    <row r="553">
      <c r="D553">
        <f>IF(C553="","",YEAR(C553)&amp;"-Q"&amp;ROUNDUP(MONTH(C553)/3,0))</f>
        <v/>
      </c>
      <c r="M553">
        <f>IF(B553="M&amp;A",N(H553),N(I553))</f>
        <v/>
      </c>
    </row>
    <row r="554">
      <c r="D554">
        <f>IF(C554="","",YEAR(C554)&amp;"-Q"&amp;ROUNDUP(MONTH(C554)/3,0))</f>
        <v/>
      </c>
      <c r="M554">
        <f>IF(B554="M&amp;A",N(H554),N(I554))</f>
        <v/>
      </c>
    </row>
    <row r="555">
      <c r="D555">
        <f>IF(C555="","",YEAR(C555)&amp;"-Q"&amp;ROUNDUP(MONTH(C555)/3,0))</f>
        <v/>
      </c>
      <c r="M555">
        <f>IF(B555="M&amp;A",N(H555),N(I555))</f>
        <v/>
      </c>
    </row>
    <row r="556">
      <c r="D556">
        <f>IF(C556="","",YEAR(C556)&amp;"-Q"&amp;ROUNDUP(MONTH(C556)/3,0))</f>
        <v/>
      </c>
      <c r="M556">
        <f>IF(B556="M&amp;A",N(H556),N(I556))</f>
        <v/>
      </c>
    </row>
    <row r="557">
      <c r="D557">
        <f>IF(C557="","",YEAR(C557)&amp;"-Q"&amp;ROUNDUP(MONTH(C557)/3,0))</f>
        <v/>
      </c>
      <c r="M557">
        <f>IF(B557="M&amp;A",N(H557),N(I557))</f>
        <v/>
      </c>
    </row>
    <row r="558">
      <c r="D558">
        <f>IF(C558="","",YEAR(C558)&amp;"-Q"&amp;ROUNDUP(MONTH(C558)/3,0))</f>
        <v/>
      </c>
      <c r="M558">
        <f>IF(B558="M&amp;A",N(H558),N(I558))</f>
        <v/>
      </c>
    </row>
    <row r="559">
      <c r="D559">
        <f>IF(C559="","",YEAR(C559)&amp;"-Q"&amp;ROUNDUP(MONTH(C559)/3,0))</f>
        <v/>
      </c>
      <c r="M559">
        <f>IF(B559="M&amp;A",N(H559),N(I559))</f>
        <v/>
      </c>
    </row>
    <row r="560">
      <c r="D560">
        <f>IF(C560="","",YEAR(C560)&amp;"-Q"&amp;ROUNDUP(MONTH(C560)/3,0))</f>
        <v/>
      </c>
      <c r="M560">
        <f>IF(B560="M&amp;A",N(H560),N(I560))</f>
        <v/>
      </c>
    </row>
    <row r="561">
      <c r="D561">
        <f>IF(C561="","",YEAR(C561)&amp;"-Q"&amp;ROUNDUP(MONTH(C561)/3,0))</f>
        <v/>
      </c>
      <c r="M561">
        <f>IF(B561="M&amp;A",N(H561),N(I561))</f>
        <v/>
      </c>
    </row>
    <row r="562">
      <c r="D562">
        <f>IF(C562="","",YEAR(C562)&amp;"-Q"&amp;ROUNDUP(MONTH(C562)/3,0))</f>
        <v/>
      </c>
      <c r="M562">
        <f>IF(B562="M&amp;A",N(H562),N(I562))</f>
        <v/>
      </c>
    </row>
    <row r="563">
      <c r="D563">
        <f>IF(C563="","",YEAR(C563)&amp;"-Q"&amp;ROUNDUP(MONTH(C563)/3,0))</f>
        <v/>
      </c>
      <c r="M563">
        <f>IF(B563="M&amp;A",N(H563),N(I563))</f>
        <v/>
      </c>
    </row>
    <row r="564">
      <c r="D564">
        <f>IF(C564="","",YEAR(C564)&amp;"-Q"&amp;ROUNDUP(MONTH(C564)/3,0))</f>
        <v/>
      </c>
      <c r="M564">
        <f>IF(B564="M&amp;A",N(H564),N(I564))</f>
        <v/>
      </c>
    </row>
    <row r="565">
      <c r="D565">
        <f>IF(C565="","",YEAR(C565)&amp;"-Q"&amp;ROUNDUP(MONTH(C565)/3,0))</f>
        <v/>
      </c>
      <c r="M565">
        <f>IF(B565="M&amp;A",N(H565),N(I565))</f>
        <v/>
      </c>
    </row>
    <row r="566">
      <c r="D566">
        <f>IF(C566="","",YEAR(C566)&amp;"-Q"&amp;ROUNDUP(MONTH(C566)/3,0))</f>
        <v/>
      </c>
      <c r="M566">
        <f>IF(B566="M&amp;A",N(H566),N(I566))</f>
        <v/>
      </c>
    </row>
    <row r="567">
      <c r="D567">
        <f>IF(C567="","",YEAR(C567)&amp;"-Q"&amp;ROUNDUP(MONTH(C567)/3,0))</f>
        <v/>
      </c>
      <c r="M567">
        <f>IF(B567="M&amp;A",N(H567),N(I567))</f>
        <v/>
      </c>
    </row>
    <row r="568">
      <c r="D568">
        <f>IF(C568="","",YEAR(C568)&amp;"-Q"&amp;ROUNDUP(MONTH(C568)/3,0))</f>
        <v/>
      </c>
      <c r="M568">
        <f>IF(B568="M&amp;A",N(H568),N(I568))</f>
        <v/>
      </c>
    </row>
    <row r="569">
      <c r="D569">
        <f>IF(C569="","",YEAR(C569)&amp;"-Q"&amp;ROUNDUP(MONTH(C569)/3,0))</f>
        <v/>
      </c>
      <c r="M569">
        <f>IF(B569="M&amp;A",N(H569),N(I569))</f>
        <v/>
      </c>
    </row>
    <row r="570">
      <c r="D570">
        <f>IF(C570="","",YEAR(C570)&amp;"-Q"&amp;ROUNDUP(MONTH(C570)/3,0))</f>
        <v/>
      </c>
      <c r="M570">
        <f>IF(B570="M&amp;A",N(H570),N(I570))</f>
        <v/>
      </c>
    </row>
    <row r="571">
      <c r="D571">
        <f>IF(C571="","",YEAR(C571)&amp;"-Q"&amp;ROUNDUP(MONTH(C571)/3,0))</f>
        <v/>
      </c>
      <c r="M571">
        <f>IF(B571="M&amp;A",N(H571),N(I571))</f>
        <v/>
      </c>
    </row>
    <row r="572">
      <c r="D572">
        <f>IF(C572="","",YEAR(C572)&amp;"-Q"&amp;ROUNDUP(MONTH(C572)/3,0))</f>
        <v/>
      </c>
      <c r="M572">
        <f>IF(B572="M&amp;A",N(H572),N(I572))</f>
        <v/>
      </c>
    </row>
    <row r="573">
      <c r="D573">
        <f>IF(C573="","",YEAR(C573)&amp;"-Q"&amp;ROUNDUP(MONTH(C573)/3,0))</f>
        <v/>
      </c>
      <c r="M573">
        <f>IF(B573="M&amp;A",N(H573),N(I573))</f>
        <v/>
      </c>
    </row>
    <row r="574">
      <c r="D574">
        <f>IF(C574="","",YEAR(C574)&amp;"-Q"&amp;ROUNDUP(MONTH(C574)/3,0))</f>
        <v/>
      </c>
      <c r="M574">
        <f>IF(B574="M&amp;A",N(H574),N(I574))</f>
        <v/>
      </c>
    </row>
    <row r="575">
      <c r="D575">
        <f>IF(C575="","",YEAR(C575)&amp;"-Q"&amp;ROUNDUP(MONTH(C575)/3,0))</f>
        <v/>
      </c>
      <c r="M575">
        <f>IF(B575="M&amp;A",N(H575),N(I575))</f>
        <v/>
      </c>
    </row>
    <row r="576">
      <c r="D576">
        <f>IF(C576="","",YEAR(C576)&amp;"-Q"&amp;ROUNDUP(MONTH(C576)/3,0))</f>
        <v/>
      </c>
      <c r="M576">
        <f>IF(B576="M&amp;A",N(H576),N(I576))</f>
        <v/>
      </c>
    </row>
    <row r="577">
      <c r="D577">
        <f>IF(C577="","",YEAR(C577)&amp;"-Q"&amp;ROUNDUP(MONTH(C577)/3,0))</f>
        <v/>
      </c>
      <c r="M577">
        <f>IF(B577="M&amp;A",N(H577),N(I577))</f>
        <v/>
      </c>
    </row>
    <row r="578">
      <c r="D578">
        <f>IF(C578="","",YEAR(C578)&amp;"-Q"&amp;ROUNDUP(MONTH(C578)/3,0))</f>
        <v/>
      </c>
      <c r="M578">
        <f>IF(B578="M&amp;A",N(H578),N(I578))</f>
        <v/>
      </c>
    </row>
    <row r="579">
      <c r="D579">
        <f>IF(C579="","",YEAR(C579)&amp;"-Q"&amp;ROUNDUP(MONTH(C579)/3,0))</f>
        <v/>
      </c>
      <c r="M579">
        <f>IF(B579="M&amp;A",N(H579),N(I579))</f>
        <v/>
      </c>
    </row>
    <row r="580">
      <c r="D580">
        <f>IF(C580="","",YEAR(C580)&amp;"-Q"&amp;ROUNDUP(MONTH(C580)/3,0))</f>
        <v/>
      </c>
      <c r="M580">
        <f>IF(B580="M&amp;A",N(H580),N(I580))</f>
        <v/>
      </c>
    </row>
    <row r="581">
      <c r="D581">
        <f>IF(C581="","",YEAR(C581)&amp;"-Q"&amp;ROUNDUP(MONTH(C581)/3,0))</f>
        <v/>
      </c>
      <c r="M581">
        <f>IF(B581="M&amp;A",N(H581),N(I581))</f>
        <v/>
      </c>
    </row>
    <row r="582">
      <c r="D582">
        <f>IF(C582="","",YEAR(C582)&amp;"-Q"&amp;ROUNDUP(MONTH(C582)/3,0))</f>
        <v/>
      </c>
      <c r="M582">
        <f>IF(B582="M&amp;A",N(H582),N(I582))</f>
        <v/>
      </c>
    </row>
    <row r="583">
      <c r="D583">
        <f>IF(C583="","",YEAR(C583)&amp;"-Q"&amp;ROUNDUP(MONTH(C583)/3,0))</f>
        <v/>
      </c>
      <c r="M583">
        <f>IF(B583="M&amp;A",N(H583),N(I583))</f>
        <v/>
      </c>
    </row>
    <row r="584">
      <c r="D584">
        <f>IF(C584="","",YEAR(C584)&amp;"-Q"&amp;ROUNDUP(MONTH(C584)/3,0))</f>
        <v/>
      </c>
      <c r="M584">
        <f>IF(B584="M&amp;A",N(H584),N(I584))</f>
        <v/>
      </c>
    </row>
    <row r="585">
      <c r="D585">
        <f>IF(C585="","",YEAR(C585)&amp;"-Q"&amp;ROUNDUP(MONTH(C585)/3,0))</f>
        <v/>
      </c>
      <c r="M585">
        <f>IF(B585="M&amp;A",N(H585),N(I585))</f>
        <v/>
      </c>
    </row>
    <row r="586">
      <c r="D586">
        <f>IF(C586="","",YEAR(C586)&amp;"-Q"&amp;ROUNDUP(MONTH(C586)/3,0))</f>
        <v/>
      </c>
      <c r="M586">
        <f>IF(B586="M&amp;A",N(H586),N(I586))</f>
        <v/>
      </c>
    </row>
    <row r="587">
      <c r="D587">
        <f>IF(C587="","",YEAR(C587)&amp;"-Q"&amp;ROUNDUP(MONTH(C587)/3,0))</f>
        <v/>
      </c>
      <c r="M587">
        <f>IF(B587="M&amp;A",N(H587),N(I587))</f>
        <v/>
      </c>
    </row>
    <row r="588">
      <c r="D588">
        <f>IF(C588="","",YEAR(C588)&amp;"-Q"&amp;ROUNDUP(MONTH(C588)/3,0))</f>
        <v/>
      </c>
      <c r="M588">
        <f>IF(B588="M&amp;A",N(H588),N(I588))</f>
        <v/>
      </c>
    </row>
    <row r="589">
      <c r="D589">
        <f>IF(C589="","",YEAR(C589)&amp;"-Q"&amp;ROUNDUP(MONTH(C589)/3,0))</f>
        <v/>
      </c>
      <c r="M589">
        <f>IF(B589="M&amp;A",N(H589),N(I589))</f>
        <v/>
      </c>
    </row>
    <row r="590">
      <c r="D590">
        <f>IF(C590="","",YEAR(C590)&amp;"-Q"&amp;ROUNDUP(MONTH(C590)/3,0))</f>
        <v/>
      </c>
      <c r="M590">
        <f>IF(B590="M&amp;A",N(H590),N(I590))</f>
        <v/>
      </c>
    </row>
    <row r="591">
      <c r="D591">
        <f>IF(C591="","",YEAR(C591)&amp;"-Q"&amp;ROUNDUP(MONTH(C591)/3,0))</f>
        <v/>
      </c>
      <c r="M591">
        <f>IF(B591="M&amp;A",N(H591),N(I591))</f>
        <v/>
      </c>
    </row>
    <row r="592">
      <c r="D592">
        <f>IF(C592="","",YEAR(C592)&amp;"-Q"&amp;ROUNDUP(MONTH(C592)/3,0))</f>
        <v/>
      </c>
      <c r="M592">
        <f>IF(B592="M&amp;A",N(H592),N(I592))</f>
        <v/>
      </c>
    </row>
    <row r="593">
      <c r="D593">
        <f>IF(C593="","",YEAR(C593)&amp;"-Q"&amp;ROUNDUP(MONTH(C593)/3,0))</f>
        <v/>
      </c>
      <c r="M593">
        <f>IF(B593="M&amp;A",N(H593),N(I593))</f>
        <v/>
      </c>
    </row>
    <row r="594">
      <c r="D594">
        <f>IF(C594="","",YEAR(C594)&amp;"-Q"&amp;ROUNDUP(MONTH(C594)/3,0))</f>
        <v/>
      </c>
      <c r="M594">
        <f>IF(B594="M&amp;A",N(H594),N(I594))</f>
        <v/>
      </c>
    </row>
    <row r="595">
      <c r="D595">
        <f>IF(C595="","",YEAR(C595)&amp;"-Q"&amp;ROUNDUP(MONTH(C595)/3,0))</f>
        <v/>
      </c>
      <c r="M595">
        <f>IF(B595="M&amp;A",N(H595),N(I595))</f>
        <v/>
      </c>
    </row>
    <row r="596">
      <c r="D596">
        <f>IF(C596="","",YEAR(C596)&amp;"-Q"&amp;ROUNDUP(MONTH(C596)/3,0))</f>
        <v/>
      </c>
      <c r="M596">
        <f>IF(B596="M&amp;A",N(H596),N(I596))</f>
        <v/>
      </c>
    </row>
    <row r="597">
      <c r="D597">
        <f>IF(C597="","",YEAR(C597)&amp;"-Q"&amp;ROUNDUP(MONTH(C597)/3,0))</f>
        <v/>
      </c>
      <c r="M597">
        <f>IF(B597="M&amp;A",N(H597),N(I597))</f>
        <v/>
      </c>
    </row>
    <row r="598">
      <c r="D598">
        <f>IF(C598="","",YEAR(C598)&amp;"-Q"&amp;ROUNDUP(MONTH(C598)/3,0))</f>
        <v/>
      </c>
      <c r="M598">
        <f>IF(B598="M&amp;A",N(H598),N(I598))</f>
        <v/>
      </c>
    </row>
    <row r="599">
      <c r="D599">
        <f>IF(C599="","",YEAR(C599)&amp;"-Q"&amp;ROUNDUP(MONTH(C599)/3,0))</f>
        <v/>
      </c>
      <c r="M599">
        <f>IF(B599="M&amp;A",N(H599),N(I599))</f>
        <v/>
      </c>
    </row>
    <row r="600">
      <c r="D600">
        <f>IF(C600="","",YEAR(C600)&amp;"-Q"&amp;ROUNDUP(MONTH(C600)/3,0))</f>
        <v/>
      </c>
      <c r="M600">
        <f>IF(B600="M&amp;A",N(H600),N(I600))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3" t="inlineStr">
        <is>
          <t>SECTOR ROTATION — capital ($M) by subsector by quarter</t>
        </is>
      </c>
    </row>
    <row r="3">
      <c r="A3" s="2" t="inlineStr">
        <is>
          <t>Subsector ($M)</t>
        </is>
      </c>
      <c r="B3" s="2" t="inlineStr">
        <is>
          <t>2025-Q3</t>
        </is>
      </c>
      <c r="C3" s="2" t="inlineStr">
        <is>
          <t>2025-Q4</t>
        </is>
      </c>
      <c r="D3" s="2" t="inlineStr">
        <is>
          <t>2026-Q1</t>
        </is>
      </c>
      <c r="E3" s="2" t="inlineStr">
        <is>
          <t>2026-Q2</t>
        </is>
      </c>
    </row>
    <row r="4">
      <c r="A4" s="3" t="inlineStr">
        <is>
          <t>Asset &amp; Wealth Tech</t>
        </is>
      </c>
      <c r="B4">
        <f>SUMIFS(Deals!$M:$M,Deals!$A:$A,$A4,Deals!$D:$D,B$3)</f>
        <v/>
      </c>
      <c r="C4">
        <f>SUMIFS(Deals!$M:$M,Deals!$A:$A,$A4,Deals!$D:$D,C$3)</f>
        <v/>
      </c>
      <c r="D4">
        <f>SUMIFS(Deals!$M:$M,Deals!$A:$A,$A4,Deals!$D:$D,D$3)</f>
        <v/>
      </c>
      <c r="E4">
        <f>SUMIFS(Deals!$M:$M,Deals!$A:$A,$A4,Deals!$D:$D,E$3)</f>
        <v/>
      </c>
    </row>
    <row r="5">
      <c r="A5" s="3" t="inlineStr">
        <is>
          <t>Banking &amp; Lending Tech</t>
        </is>
      </c>
      <c r="B5">
        <f>SUMIFS(Deals!$M:$M,Deals!$A:$A,$A5,Deals!$D:$D,B$3)</f>
        <v/>
      </c>
      <c r="C5">
        <f>SUMIFS(Deals!$M:$M,Deals!$A:$A,$A5,Deals!$D:$D,C$3)</f>
        <v/>
      </c>
      <c r="D5">
        <f>SUMIFS(Deals!$M:$M,Deals!$A:$A,$A5,Deals!$D:$D,D$3)</f>
        <v/>
      </c>
      <c r="E5">
        <f>SUMIFS(Deals!$M:$M,Deals!$A:$A,$A5,Deals!$D:$D,E$3)</f>
        <v/>
      </c>
    </row>
    <row r="6">
      <c r="A6" s="3" t="inlineStr">
        <is>
          <t>Capital Markets Tech</t>
        </is>
      </c>
      <c r="B6">
        <f>SUMIFS(Deals!$M:$M,Deals!$A:$A,$A6,Deals!$D:$D,B$3)</f>
        <v/>
      </c>
      <c r="C6">
        <f>SUMIFS(Deals!$M:$M,Deals!$A:$A,$A6,Deals!$D:$D,C$3)</f>
        <v/>
      </c>
      <c r="D6">
        <f>SUMIFS(Deals!$M:$M,Deals!$A:$A,$A6,Deals!$D:$D,D$3)</f>
        <v/>
      </c>
      <c r="E6">
        <f>SUMIFS(Deals!$M:$M,Deals!$A:$A,$A6,Deals!$D:$D,E$3)</f>
        <v/>
      </c>
    </row>
    <row r="7">
      <c r="A7" s="3" t="inlineStr">
        <is>
          <t>Corporate Financial Function</t>
        </is>
      </c>
      <c r="B7">
        <f>SUMIFS(Deals!$M:$M,Deals!$A:$A,$A7,Deals!$D:$D,B$3)</f>
        <v/>
      </c>
      <c r="C7">
        <f>SUMIFS(Deals!$M:$M,Deals!$A:$A,$A7,Deals!$D:$D,C$3)</f>
        <v/>
      </c>
      <c r="D7">
        <f>SUMIFS(Deals!$M:$M,Deals!$A:$A,$A7,Deals!$D:$D,D$3)</f>
        <v/>
      </c>
      <c r="E7">
        <f>SUMIFS(Deals!$M:$M,Deals!$A:$A,$A7,Deals!$D:$D,E$3)</f>
        <v/>
      </c>
    </row>
    <row r="8">
      <c r="A8" s="3" t="inlineStr">
        <is>
          <t>Financial Info &amp; Analytics</t>
        </is>
      </c>
      <c r="B8">
        <f>SUMIFS(Deals!$M:$M,Deals!$A:$A,$A8,Deals!$D:$D,B$3)</f>
        <v/>
      </c>
      <c r="C8">
        <f>SUMIFS(Deals!$M:$M,Deals!$A:$A,$A8,Deals!$D:$D,C$3)</f>
        <v/>
      </c>
      <c r="D8">
        <f>SUMIFS(Deals!$M:$M,Deals!$A:$A,$A8,Deals!$D:$D,D$3)</f>
        <v/>
      </c>
      <c r="E8">
        <f>SUMIFS(Deals!$M:$M,Deals!$A:$A,$A8,Deals!$D:$D,E$3)</f>
        <v/>
      </c>
    </row>
    <row r="9">
      <c r="A9" s="3" t="inlineStr">
        <is>
          <t>InsurTech</t>
        </is>
      </c>
      <c r="B9">
        <f>SUMIFS(Deals!$M:$M,Deals!$A:$A,$A9,Deals!$D:$D,B$3)</f>
        <v/>
      </c>
      <c r="C9">
        <f>SUMIFS(Deals!$M:$M,Deals!$A:$A,$A9,Deals!$D:$D,C$3)</f>
        <v/>
      </c>
      <c r="D9">
        <f>SUMIFS(Deals!$M:$M,Deals!$A:$A,$A9,Deals!$D:$D,D$3)</f>
        <v/>
      </c>
      <c r="E9">
        <f>SUMIFS(Deals!$M:$M,Deals!$A:$A,$A9,Deals!$D:$D,E$3)</f>
        <v/>
      </c>
    </row>
    <row r="10">
      <c r="A10" s="3" t="inlineStr">
        <is>
          <t>Payments</t>
        </is>
      </c>
      <c r="B10">
        <f>SUMIFS(Deals!$M:$M,Deals!$A:$A,$A10,Deals!$D:$D,B$3)</f>
        <v/>
      </c>
      <c r="C10">
        <f>SUMIFS(Deals!$M:$M,Deals!$A:$A,$A10,Deals!$D:$D,C$3)</f>
        <v/>
      </c>
      <c r="D10">
        <f>SUMIFS(Deals!$M:$M,Deals!$A:$A,$A10,Deals!$D:$D,D$3)</f>
        <v/>
      </c>
      <c r="E10">
        <f>SUMIFS(Deals!$M:$M,Deals!$A:$A,$A10,Deals!$D:$D,E$3)</f>
        <v/>
      </c>
    </row>
    <row r="11">
      <c r="A11" s="3" t="inlineStr">
        <is>
          <t>Real Estate &amp; Mortgage Tech</t>
        </is>
      </c>
      <c r="B11">
        <f>SUMIFS(Deals!$M:$M,Deals!$A:$A,$A11,Deals!$D:$D,B$3)</f>
        <v/>
      </c>
      <c r="C11">
        <f>SUMIFS(Deals!$M:$M,Deals!$A:$A,$A11,Deals!$D:$D,C$3)</f>
        <v/>
      </c>
      <c r="D11">
        <f>SUMIFS(Deals!$M:$M,Deals!$A:$A,$A11,Deals!$D:$D,D$3)</f>
        <v/>
      </c>
      <c r="E11">
        <f>SUMIFS(Deals!$M:$M,Deals!$A:$A,$A11,Deals!$D:$D,E$3)</f>
        <v/>
      </c>
    </row>
    <row r="14">
      <c r="A14" s="3" t="inlineStr">
        <is>
          <t># OF DEALS by subsector by quarter</t>
        </is>
      </c>
    </row>
    <row r="15">
      <c r="A15" s="2" t="inlineStr">
        <is>
          <t>Subsector (#)</t>
        </is>
      </c>
      <c r="B15" s="2" t="inlineStr">
        <is>
          <t>2025-Q3</t>
        </is>
      </c>
      <c r="C15" s="2" t="inlineStr">
        <is>
          <t>2025-Q4</t>
        </is>
      </c>
      <c r="D15" s="2" t="inlineStr">
        <is>
          <t>2026-Q1</t>
        </is>
      </c>
      <c r="E15" s="2" t="inlineStr">
        <is>
          <t>2026-Q2</t>
        </is>
      </c>
    </row>
    <row r="16">
      <c r="A16" s="3" t="inlineStr">
        <is>
          <t>Asset &amp; Wealth Tech</t>
        </is>
      </c>
      <c r="B16">
        <f>COUNTIFS(Deals!$A:$A,$A16,Deals!$D:$D,B$15)</f>
        <v/>
      </c>
      <c r="C16">
        <f>COUNTIFS(Deals!$A:$A,$A16,Deals!$D:$D,C$15)</f>
        <v/>
      </c>
      <c r="D16">
        <f>COUNTIFS(Deals!$A:$A,$A16,Deals!$D:$D,D$15)</f>
        <v/>
      </c>
      <c r="E16">
        <f>COUNTIFS(Deals!$A:$A,$A16,Deals!$D:$D,E$15)</f>
        <v/>
      </c>
    </row>
    <row r="17">
      <c r="A17" s="3" t="inlineStr">
        <is>
          <t>Banking &amp; Lending Tech</t>
        </is>
      </c>
      <c r="B17">
        <f>COUNTIFS(Deals!$A:$A,$A17,Deals!$D:$D,B$15)</f>
        <v/>
      </c>
      <c r="C17">
        <f>COUNTIFS(Deals!$A:$A,$A17,Deals!$D:$D,C$15)</f>
        <v/>
      </c>
      <c r="D17">
        <f>COUNTIFS(Deals!$A:$A,$A17,Deals!$D:$D,D$15)</f>
        <v/>
      </c>
      <c r="E17">
        <f>COUNTIFS(Deals!$A:$A,$A17,Deals!$D:$D,E$15)</f>
        <v/>
      </c>
    </row>
    <row r="18">
      <c r="A18" s="3" t="inlineStr">
        <is>
          <t>Capital Markets Tech</t>
        </is>
      </c>
      <c r="B18">
        <f>COUNTIFS(Deals!$A:$A,$A18,Deals!$D:$D,B$15)</f>
        <v/>
      </c>
      <c r="C18">
        <f>COUNTIFS(Deals!$A:$A,$A18,Deals!$D:$D,C$15)</f>
        <v/>
      </c>
      <c r="D18">
        <f>COUNTIFS(Deals!$A:$A,$A18,Deals!$D:$D,D$15)</f>
        <v/>
      </c>
      <c r="E18">
        <f>COUNTIFS(Deals!$A:$A,$A18,Deals!$D:$D,E$15)</f>
        <v/>
      </c>
    </row>
    <row r="19">
      <c r="A19" s="3" t="inlineStr">
        <is>
          <t>Corporate Financial Function</t>
        </is>
      </c>
      <c r="B19">
        <f>COUNTIFS(Deals!$A:$A,$A19,Deals!$D:$D,B$15)</f>
        <v/>
      </c>
      <c r="C19">
        <f>COUNTIFS(Deals!$A:$A,$A19,Deals!$D:$D,C$15)</f>
        <v/>
      </c>
      <c r="D19">
        <f>COUNTIFS(Deals!$A:$A,$A19,Deals!$D:$D,D$15)</f>
        <v/>
      </c>
      <c r="E19">
        <f>COUNTIFS(Deals!$A:$A,$A19,Deals!$D:$D,E$15)</f>
        <v/>
      </c>
    </row>
    <row r="20">
      <c r="A20" s="3" t="inlineStr">
        <is>
          <t>Financial Info &amp; Analytics</t>
        </is>
      </c>
      <c r="B20">
        <f>COUNTIFS(Deals!$A:$A,$A20,Deals!$D:$D,B$15)</f>
        <v/>
      </c>
      <c r="C20">
        <f>COUNTIFS(Deals!$A:$A,$A20,Deals!$D:$D,C$15)</f>
        <v/>
      </c>
      <c r="D20">
        <f>COUNTIFS(Deals!$A:$A,$A20,Deals!$D:$D,D$15)</f>
        <v/>
      </c>
      <c r="E20">
        <f>COUNTIFS(Deals!$A:$A,$A20,Deals!$D:$D,E$15)</f>
        <v/>
      </c>
    </row>
    <row r="21">
      <c r="A21" s="3" t="inlineStr">
        <is>
          <t>InsurTech</t>
        </is>
      </c>
      <c r="B21">
        <f>COUNTIFS(Deals!$A:$A,$A21,Deals!$D:$D,B$15)</f>
        <v/>
      </c>
      <c r="C21">
        <f>COUNTIFS(Deals!$A:$A,$A21,Deals!$D:$D,C$15)</f>
        <v/>
      </c>
      <c r="D21">
        <f>COUNTIFS(Deals!$A:$A,$A21,Deals!$D:$D,D$15)</f>
        <v/>
      </c>
      <c r="E21">
        <f>COUNTIFS(Deals!$A:$A,$A21,Deals!$D:$D,E$15)</f>
        <v/>
      </c>
    </row>
    <row r="22">
      <c r="A22" s="3" t="inlineStr">
        <is>
          <t>Payments</t>
        </is>
      </c>
      <c r="B22">
        <f>COUNTIFS(Deals!$A:$A,$A22,Deals!$D:$D,B$15)</f>
        <v/>
      </c>
      <c r="C22">
        <f>COUNTIFS(Deals!$A:$A,$A22,Deals!$D:$D,C$15)</f>
        <v/>
      </c>
      <c r="D22">
        <f>COUNTIFS(Deals!$A:$A,$A22,Deals!$D:$D,D$15)</f>
        <v/>
      </c>
      <c r="E22">
        <f>COUNTIFS(Deals!$A:$A,$A22,Deals!$D:$D,E$15)</f>
        <v/>
      </c>
    </row>
    <row r="23">
      <c r="A23" s="3" t="inlineStr">
        <is>
          <t>Real Estate &amp; Mortgage Tech</t>
        </is>
      </c>
      <c r="B23">
        <f>COUNTIFS(Deals!$A:$A,$A23,Deals!$D:$D,B$15)</f>
        <v/>
      </c>
      <c r="C23">
        <f>COUNTIFS(Deals!$A:$A,$A23,Deals!$D:$D,C$15)</f>
        <v/>
      </c>
      <c r="D23">
        <f>COUNTIFS(Deals!$A:$A,$A23,Deals!$D:$D,D$15)</f>
        <v/>
      </c>
      <c r="E23">
        <f>COUNTIFS(Deals!$A:$A,$A23,Deals!$D:$D,E$15)</f>
        <v/>
      </c>
    </row>
    <row r="25">
      <c r="A25" s="4" t="inlineStr">
        <is>
          <t>To add a quarter: copy the last column right and change the label (e.g. 2026-Q3).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2" t="inlineStr">
        <is>
          <t>Ticker</t>
        </is>
      </c>
      <c r="B1" s="2" t="inlineStr">
        <is>
          <t>Subsector</t>
        </is>
      </c>
    </row>
    <row r="2">
      <c r="A2" t="inlineStr">
        <is>
          <t>(e.g. PYPL)</t>
        </is>
      </c>
      <c r="B2" t="inlineStr">
        <is>
          <t>Payments</t>
        </is>
      </c>
    </row>
    <row r="3">
      <c r="A3" s="4" t="inlineStr">
        <is>
          <t>(add one row per public comp ticker)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15" customWidth="1" min="4" max="4"/>
    <col width="13" customWidth="1" min="11" max="11"/>
    <col width="12" customWidth="1" min="12" max="12"/>
  </cols>
  <sheetData>
    <row r="1"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L1" s="4" t="inlineStr">
        <is>
          <t>Fwd EV/Rev = EV / next-year revenue (constant horizon, point-in-time)</t>
        </is>
      </c>
    </row>
    <row r="2">
      <c r="A2" s="2" t="inlineStr">
        <is>
          <t>As-Of Date</t>
        </is>
      </c>
      <c r="B2" s="2" t="inlineStr">
        <is>
          <t>Ticker</t>
        </is>
      </c>
      <c r="C2" s="2" t="inlineStr">
        <is>
          <t>Subsector</t>
        </is>
      </c>
      <c r="D2" s="2" t="inlineStr">
        <is>
          <t>Enterprise Value</t>
        </is>
      </c>
      <c r="E2" s="2" t="inlineStr">
        <is>
          <t>Rev'22</t>
        </is>
      </c>
      <c r="F2" s="2" t="inlineStr">
        <is>
          <t>Rev'23</t>
        </is>
      </c>
      <c r="G2" s="2" t="inlineStr">
        <is>
          <t>Rev'24</t>
        </is>
      </c>
      <c r="H2" s="2" t="inlineStr">
        <is>
          <t>Rev'25</t>
        </is>
      </c>
      <c r="I2" s="2" t="inlineStr">
        <is>
          <t>Rev'26</t>
        </is>
      </c>
      <c r="J2" s="2" t="inlineStr">
        <is>
          <t>Rev'27</t>
        </is>
      </c>
      <c r="K2" s="2" t="inlineStr">
        <is>
          <t>FwdRev (CY+1)</t>
        </is>
      </c>
      <c r="L2" s="2" t="inlineStr">
        <is>
          <t>Fwd EV/Rev</t>
        </is>
      </c>
    </row>
    <row r="3">
      <c r="C3">
        <f>IFERROR(VLOOKUP(B3,'Subsector Map'!$A:$B,2,0),"")</f>
        <v/>
      </c>
      <c r="K3">
        <f>IFERROR(INDEX(E3:J3,MATCH(YEAR(A3)+1,$E$1:$J$1,0)),"")</f>
        <v/>
      </c>
      <c r="L3">
        <f>IFERROR(D3/K3,"")</f>
        <v/>
      </c>
    </row>
    <row r="4">
      <c r="C4">
        <f>IFERROR(VLOOKUP(B4,'Subsector Map'!$A:$B,2,0),"")</f>
        <v/>
      </c>
      <c r="K4">
        <f>IFERROR(INDEX(E4:J4,MATCH(YEAR(A4)+1,$E$1:$J$1,0)),"")</f>
        <v/>
      </c>
      <c r="L4">
        <f>IFERROR(D4/K4,"")</f>
        <v/>
      </c>
    </row>
    <row r="5">
      <c r="C5">
        <f>IFERROR(VLOOKUP(B5,'Subsector Map'!$A:$B,2,0),"")</f>
        <v/>
      </c>
      <c r="K5">
        <f>IFERROR(INDEX(E5:J5,MATCH(YEAR(A5)+1,$E$1:$J$1,0)),"")</f>
        <v/>
      </c>
      <c r="L5">
        <f>IFERROR(D5/K5,"")</f>
        <v/>
      </c>
    </row>
    <row r="6">
      <c r="C6">
        <f>IFERROR(VLOOKUP(B6,'Subsector Map'!$A:$B,2,0),"")</f>
        <v/>
      </c>
      <c r="K6">
        <f>IFERROR(INDEX(E6:J6,MATCH(YEAR(A6)+1,$E$1:$J$1,0)),"")</f>
        <v/>
      </c>
      <c r="L6">
        <f>IFERROR(D6/K6,"")</f>
        <v/>
      </c>
    </row>
    <row r="7">
      <c r="C7">
        <f>IFERROR(VLOOKUP(B7,'Subsector Map'!$A:$B,2,0),"")</f>
        <v/>
      </c>
      <c r="K7">
        <f>IFERROR(INDEX(E7:J7,MATCH(YEAR(A7)+1,$E$1:$J$1,0)),"")</f>
        <v/>
      </c>
      <c r="L7">
        <f>IFERROR(D7/K7,"")</f>
        <v/>
      </c>
    </row>
    <row r="8">
      <c r="C8">
        <f>IFERROR(VLOOKUP(B8,'Subsector Map'!$A:$B,2,0),"")</f>
        <v/>
      </c>
      <c r="K8">
        <f>IFERROR(INDEX(E8:J8,MATCH(YEAR(A8)+1,$E$1:$J$1,0)),"")</f>
        <v/>
      </c>
      <c r="L8">
        <f>IFERROR(D8/K8,"")</f>
        <v/>
      </c>
    </row>
    <row r="9">
      <c r="C9">
        <f>IFERROR(VLOOKUP(B9,'Subsector Map'!$A:$B,2,0),"")</f>
        <v/>
      </c>
      <c r="K9">
        <f>IFERROR(INDEX(E9:J9,MATCH(YEAR(A9)+1,$E$1:$J$1,0)),"")</f>
        <v/>
      </c>
      <c r="L9">
        <f>IFERROR(D9/K9,"")</f>
        <v/>
      </c>
    </row>
    <row r="10">
      <c r="C10">
        <f>IFERROR(VLOOKUP(B10,'Subsector Map'!$A:$B,2,0),"")</f>
        <v/>
      </c>
      <c r="K10">
        <f>IFERROR(INDEX(E10:J10,MATCH(YEAR(A10)+1,$E$1:$J$1,0)),"")</f>
        <v/>
      </c>
      <c r="L10">
        <f>IFERROR(D10/K10,"")</f>
        <v/>
      </c>
    </row>
    <row r="11">
      <c r="C11">
        <f>IFERROR(VLOOKUP(B11,'Subsector Map'!$A:$B,2,0),"")</f>
        <v/>
      </c>
      <c r="K11">
        <f>IFERROR(INDEX(E11:J11,MATCH(YEAR(A11)+1,$E$1:$J$1,0)),"")</f>
        <v/>
      </c>
      <c r="L11">
        <f>IFERROR(D11/K11,"")</f>
        <v/>
      </c>
    </row>
    <row r="12">
      <c r="C12">
        <f>IFERROR(VLOOKUP(B12,'Subsector Map'!$A:$B,2,0),"")</f>
        <v/>
      </c>
      <c r="K12">
        <f>IFERROR(INDEX(E12:J12,MATCH(YEAR(A12)+1,$E$1:$J$1,0)),"")</f>
        <v/>
      </c>
      <c r="L12">
        <f>IFERROR(D12/K12,"")</f>
        <v/>
      </c>
    </row>
    <row r="13">
      <c r="C13">
        <f>IFERROR(VLOOKUP(B13,'Subsector Map'!$A:$B,2,0),"")</f>
        <v/>
      </c>
      <c r="K13">
        <f>IFERROR(INDEX(E13:J13,MATCH(YEAR(A13)+1,$E$1:$J$1,0)),"")</f>
        <v/>
      </c>
      <c r="L13">
        <f>IFERROR(D13/K13,"")</f>
        <v/>
      </c>
    </row>
    <row r="14">
      <c r="C14">
        <f>IFERROR(VLOOKUP(B14,'Subsector Map'!$A:$B,2,0),"")</f>
        <v/>
      </c>
      <c r="K14">
        <f>IFERROR(INDEX(E14:J14,MATCH(YEAR(A14)+1,$E$1:$J$1,0)),"")</f>
        <v/>
      </c>
      <c r="L14">
        <f>IFERROR(D14/K14,"")</f>
        <v/>
      </c>
    </row>
    <row r="15">
      <c r="C15">
        <f>IFERROR(VLOOKUP(B15,'Subsector Map'!$A:$B,2,0),"")</f>
        <v/>
      </c>
      <c r="K15">
        <f>IFERROR(INDEX(E15:J15,MATCH(YEAR(A15)+1,$E$1:$J$1,0)),"")</f>
        <v/>
      </c>
      <c r="L15">
        <f>IFERROR(D15/K15,"")</f>
        <v/>
      </c>
    </row>
    <row r="16">
      <c r="C16">
        <f>IFERROR(VLOOKUP(B16,'Subsector Map'!$A:$B,2,0),"")</f>
        <v/>
      </c>
      <c r="K16">
        <f>IFERROR(INDEX(E16:J16,MATCH(YEAR(A16)+1,$E$1:$J$1,0)),"")</f>
        <v/>
      </c>
      <c r="L16">
        <f>IFERROR(D16/K16,"")</f>
        <v/>
      </c>
    </row>
    <row r="17">
      <c r="C17">
        <f>IFERROR(VLOOKUP(B17,'Subsector Map'!$A:$B,2,0),"")</f>
        <v/>
      </c>
      <c r="K17">
        <f>IFERROR(INDEX(E17:J17,MATCH(YEAR(A17)+1,$E$1:$J$1,0)),"")</f>
        <v/>
      </c>
      <c r="L17">
        <f>IFERROR(D17/K17,"")</f>
        <v/>
      </c>
    </row>
    <row r="18">
      <c r="C18">
        <f>IFERROR(VLOOKUP(B18,'Subsector Map'!$A:$B,2,0),"")</f>
        <v/>
      </c>
      <c r="K18">
        <f>IFERROR(INDEX(E18:J18,MATCH(YEAR(A18)+1,$E$1:$J$1,0)),"")</f>
        <v/>
      </c>
      <c r="L18">
        <f>IFERROR(D18/K18,"")</f>
        <v/>
      </c>
    </row>
    <row r="19">
      <c r="C19">
        <f>IFERROR(VLOOKUP(B19,'Subsector Map'!$A:$B,2,0),"")</f>
        <v/>
      </c>
      <c r="K19">
        <f>IFERROR(INDEX(E19:J19,MATCH(YEAR(A19)+1,$E$1:$J$1,0)),"")</f>
        <v/>
      </c>
      <c r="L19">
        <f>IFERROR(D19/K19,"")</f>
        <v/>
      </c>
    </row>
    <row r="20">
      <c r="C20">
        <f>IFERROR(VLOOKUP(B20,'Subsector Map'!$A:$B,2,0),"")</f>
        <v/>
      </c>
      <c r="K20">
        <f>IFERROR(INDEX(E20:J20,MATCH(YEAR(A20)+1,$E$1:$J$1,0)),"")</f>
        <v/>
      </c>
      <c r="L20">
        <f>IFERROR(D20/K20,"")</f>
        <v/>
      </c>
    </row>
    <row r="21">
      <c r="C21">
        <f>IFERROR(VLOOKUP(B21,'Subsector Map'!$A:$B,2,0),"")</f>
        <v/>
      </c>
      <c r="K21">
        <f>IFERROR(INDEX(E21:J21,MATCH(YEAR(A21)+1,$E$1:$J$1,0)),"")</f>
        <v/>
      </c>
      <c r="L21">
        <f>IFERROR(D21/K21,"")</f>
        <v/>
      </c>
    </row>
    <row r="22">
      <c r="C22">
        <f>IFERROR(VLOOKUP(B22,'Subsector Map'!$A:$B,2,0),"")</f>
        <v/>
      </c>
      <c r="K22">
        <f>IFERROR(INDEX(E22:J22,MATCH(YEAR(A22)+1,$E$1:$J$1,0)),"")</f>
        <v/>
      </c>
      <c r="L22">
        <f>IFERROR(D22/K22,"")</f>
        <v/>
      </c>
    </row>
    <row r="23">
      <c r="C23">
        <f>IFERROR(VLOOKUP(B23,'Subsector Map'!$A:$B,2,0),"")</f>
        <v/>
      </c>
      <c r="K23">
        <f>IFERROR(INDEX(E23:J23,MATCH(YEAR(A23)+1,$E$1:$J$1,0)),"")</f>
        <v/>
      </c>
      <c r="L23">
        <f>IFERROR(D23/K23,"")</f>
        <v/>
      </c>
    </row>
    <row r="24">
      <c r="C24">
        <f>IFERROR(VLOOKUP(B24,'Subsector Map'!$A:$B,2,0),"")</f>
        <v/>
      </c>
      <c r="K24">
        <f>IFERROR(INDEX(E24:J24,MATCH(YEAR(A24)+1,$E$1:$J$1,0)),"")</f>
        <v/>
      </c>
      <c r="L24">
        <f>IFERROR(D24/K24,"")</f>
        <v/>
      </c>
    </row>
    <row r="25">
      <c r="C25">
        <f>IFERROR(VLOOKUP(B25,'Subsector Map'!$A:$B,2,0),"")</f>
        <v/>
      </c>
      <c r="K25">
        <f>IFERROR(INDEX(E25:J25,MATCH(YEAR(A25)+1,$E$1:$J$1,0)),"")</f>
        <v/>
      </c>
      <c r="L25">
        <f>IFERROR(D25/K25,"")</f>
        <v/>
      </c>
    </row>
    <row r="26">
      <c r="C26">
        <f>IFERROR(VLOOKUP(B26,'Subsector Map'!$A:$B,2,0),"")</f>
        <v/>
      </c>
      <c r="K26">
        <f>IFERROR(INDEX(E26:J26,MATCH(YEAR(A26)+1,$E$1:$J$1,0)),"")</f>
        <v/>
      </c>
      <c r="L26">
        <f>IFERROR(D26/K26,"")</f>
        <v/>
      </c>
    </row>
    <row r="27">
      <c r="C27">
        <f>IFERROR(VLOOKUP(B27,'Subsector Map'!$A:$B,2,0),"")</f>
        <v/>
      </c>
      <c r="K27">
        <f>IFERROR(INDEX(E27:J27,MATCH(YEAR(A27)+1,$E$1:$J$1,0)),"")</f>
        <v/>
      </c>
      <c r="L27">
        <f>IFERROR(D27/K27,"")</f>
        <v/>
      </c>
    </row>
    <row r="28">
      <c r="C28">
        <f>IFERROR(VLOOKUP(B28,'Subsector Map'!$A:$B,2,0),"")</f>
        <v/>
      </c>
      <c r="K28">
        <f>IFERROR(INDEX(E28:J28,MATCH(YEAR(A28)+1,$E$1:$J$1,0)),"")</f>
        <v/>
      </c>
      <c r="L28">
        <f>IFERROR(D28/K28,"")</f>
        <v/>
      </c>
    </row>
    <row r="29">
      <c r="C29">
        <f>IFERROR(VLOOKUP(B29,'Subsector Map'!$A:$B,2,0),"")</f>
        <v/>
      </c>
      <c r="K29">
        <f>IFERROR(INDEX(E29:J29,MATCH(YEAR(A29)+1,$E$1:$J$1,0)),"")</f>
        <v/>
      </c>
      <c r="L29">
        <f>IFERROR(D29/K29,"")</f>
        <v/>
      </c>
    </row>
    <row r="30">
      <c r="C30">
        <f>IFERROR(VLOOKUP(B30,'Subsector Map'!$A:$B,2,0),"")</f>
        <v/>
      </c>
      <c r="K30">
        <f>IFERROR(INDEX(E30:J30,MATCH(YEAR(A30)+1,$E$1:$J$1,0)),"")</f>
        <v/>
      </c>
      <c r="L30">
        <f>IFERROR(D30/K30,"")</f>
        <v/>
      </c>
    </row>
    <row r="31">
      <c r="C31">
        <f>IFERROR(VLOOKUP(B31,'Subsector Map'!$A:$B,2,0),"")</f>
        <v/>
      </c>
      <c r="K31">
        <f>IFERROR(INDEX(E31:J31,MATCH(YEAR(A31)+1,$E$1:$J$1,0)),"")</f>
        <v/>
      </c>
      <c r="L31">
        <f>IFERROR(D31/K31,"")</f>
        <v/>
      </c>
    </row>
    <row r="32">
      <c r="C32">
        <f>IFERROR(VLOOKUP(B32,'Subsector Map'!$A:$B,2,0),"")</f>
        <v/>
      </c>
      <c r="K32">
        <f>IFERROR(INDEX(E32:J32,MATCH(YEAR(A32)+1,$E$1:$J$1,0)),"")</f>
        <v/>
      </c>
      <c r="L32">
        <f>IFERROR(D32/K32,"")</f>
        <v/>
      </c>
    </row>
    <row r="33">
      <c r="C33">
        <f>IFERROR(VLOOKUP(B33,'Subsector Map'!$A:$B,2,0),"")</f>
        <v/>
      </c>
      <c r="K33">
        <f>IFERROR(INDEX(E33:J33,MATCH(YEAR(A33)+1,$E$1:$J$1,0)),"")</f>
        <v/>
      </c>
      <c r="L33">
        <f>IFERROR(D33/K33,"")</f>
        <v/>
      </c>
    </row>
    <row r="34">
      <c r="C34">
        <f>IFERROR(VLOOKUP(B34,'Subsector Map'!$A:$B,2,0),"")</f>
        <v/>
      </c>
      <c r="K34">
        <f>IFERROR(INDEX(E34:J34,MATCH(YEAR(A34)+1,$E$1:$J$1,0)),"")</f>
        <v/>
      </c>
      <c r="L34">
        <f>IFERROR(D34/K34,"")</f>
        <v/>
      </c>
    </row>
    <row r="35">
      <c r="C35">
        <f>IFERROR(VLOOKUP(B35,'Subsector Map'!$A:$B,2,0),"")</f>
        <v/>
      </c>
      <c r="K35">
        <f>IFERROR(INDEX(E35:J35,MATCH(YEAR(A35)+1,$E$1:$J$1,0)),"")</f>
        <v/>
      </c>
      <c r="L35">
        <f>IFERROR(D35/K35,"")</f>
        <v/>
      </c>
    </row>
    <row r="36">
      <c r="C36">
        <f>IFERROR(VLOOKUP(B36,'Subsector Map'!$A:$B,2,0),"")</f>
        <v/>
      </c>
      <c r="K36">
        <f>IFERROR(INDEX(E36:J36,MATCH(YEAR(A36)+1,$E$1:$J$1,0)),"")</f>
        <v/>
      </c>
      <c r="L36">
        <f>IFERROR(D36/K36,"")</f>
        <v/>
      </c>
    </row>
    <row r="37">
      <c r="C37">
        <f>IFERROR(VLOOKUP(B37,'Subsector Map'!$A:$B,2,0),"")</f>
        <v/>
      </c>
      <c r="K37">
        <f>IFERROR(INDEX(E37:J37,MATCH(YEAR(A37)+1,$E$1:$J$1,0)),"")</f>
        <v/>
      </c>
      <c r="L37">
        <f>IFERROR(D37/K37,"")</f>
        <v/>
      </c>
    </row>
    <row r="38">
      <c r="C38">
        <f>IFERROR(VLOOKUP(B38,'Subsector Map'!$A:$B,2,0),"")</f>
        <v/>
      </c>
      <c r="K38">
        <f>IFERROR(INDEX(E38:J38,MATCH(YEAR(A38)+1,$E$1:$J$1,0)),"")</f>
        <v/>
      </c>
      <c r="L38">
        <f>IFERROR(D38/K38,"")</f>
        <v/>
      </c>
    </row>
    <row r="39">
      <c r="C39">
        <f>IFERROR(VLOOKUP(B39,'Subsector Map'!$A:$B,2,0),"")</f>
        <v/>
      </c>
      <c r="K39">
        <f>IFERROR(INDEX(E39:J39,MATCH(YEAR(A39)+1,$E$1:$J$1,0)),"")</f>
        <v/>
      </c>
      <c r="L39">
        <f>IFERROR(D39/K39,"")</f>
        <v/>
      </c>
    </row>
    <row r="40">
      <c r="C40">
        <f>IFERROR(VLOOKUP(B40,'Subsector Map'!$A:$B,2,0),"")</f>
        <v/>
      </c>
      <c r="K40">
        <f>IFERROR(INDEX(E40:J40,MATCH(YEAR(A40)+1,$E$1:$J$1,0)),"")</f>
        <v/>
      </c>
      <c r="L40">
        <f>IFERROR(D40/K40,"")</f>
        <v/>
      </c>
    </row>
    <row r="41">
      <c r="C41">
        <f>IFERROR(VLOOKUP(B41,'Subsector Map'!$A:$B,2,0),"")</f>
        <v/>
      </c>
      <c r="K41">
        <f>IFERROR(INDEX(E41:J41,MATCH(YEAR(A41)+1,$E$1:$J$1,0)),"")</f>
        <v/>
      </c>
      <c r="L41">
        <f>IFERROR(D41/K41,"")</f>
        <v/>
      </c>
    </row>
    <row r="42">
      <c r="C42">
        <f>IFERROR(VLOOKUP(B42,'Subsector Map'!$A:$B,2,0),"")</f>
        <v/>
      </c>
      <c r="K42">
        <f>IFERROR(INDEX(E42:J42,MATCH(YEAR(A42)+1,$E$1:$J$1,0)),"")</f>
        <v/>
      </c>
      <c r="L42">
        <f>IFERROR(D42/K42,"")</f>
        <v/>
      </c>
    </row>
    <row r="43">
      <c r="C43">
        <f>IFERROR(VLOOKUP(B43,'Subsector Map'!$A:$B,2,0),"")</f>
        <v/>
      </c>
      <c r="K43">
        <f>IFERROR(INDEX(E43:J43,MATCH(YEAR(A43)+1,$E$1:$J$1,0)),"")</f>
        <v/>
      </c>
      <c r="L43">
        <f>IFERROR(D43/K43,"")</f>
        <v/>
      </c>
    </row>
    <row r="44">
      <c r="C44">
        <f>IFERROR(VLOOKUP(B44,'Subsector Map'!$A:$B,2,0),"")</f>
        <v/>
      </c>
      <c r="K44">
        <f>IFERROR(INDEX(E44:J44,MATCH(YEAR(A44)+1,$E$1:$J$1,0)),"")</f>
        <v/>
      </c>
      <c r="L44">
        <f>IFERROR(D44/K44,"")</f>
        <v/>
      </c>
    </row>
    <row r="45">
      <c r="C45">
        <f>IFERROR(VLOOKUP(B45,'Subsector Map'!$A:$B,2,0),"")</f>
        <v/>
      </c>
      <c r="K45">
        <f>IFERROR(INDEX(E45:J45,MATCH(YEAR(A45)+1,$E$1:$J$1,0)),"")</f>
        <v/>
      </c>
      <c r="L45">
        <f>IFERROR(D45/K45,"")</f>
        <v/>
      </c>
    </row>
    <row r="46">
      <c r="C46">
        <f>IFERROR(VLOOKUP(B46,'Subsector Map'!$A:$B,2,0),"")</f>
        <v/>
      </c>
      <c r="K46">
        <f>IFERROR(INDEX(E46:J46,MATCH(YEAR(A46)+1,$E$1:$J$1,0)),"")</f>
        <v/>
      </c>
      <c r="L46">
        <f>IFERROR(D46/K46,"")</f>
        <v/>
      </c>
    </row>
    <row r="47">
      <c r="C47">
        <f>IFERROR(VLOOKUP(B47,'Subsector Map'!$A:$B,2,0),"")</f>
        <v/>
      </c>
      <c r="K47">
        <f>IFERROR(INDEX(E47:J47,MATCH(YEAR(A47)+1,$E$1:$J$1,0)),"")</f>
        <v/>
      </c>
      <c r="L47">
        <f>IFERROR(D47/K47,"")</f>
        <v/>
      </c>
    </row>
    <row r="48">
      <c r="C48">
        <f>IFERROR(VLOOKUP(B48,'Subsector Map'!$A:$B,2,0),"")</f>
        <v/>
      </c>
      <c r="K48">
        <f>IFERROR(INDEX(E48:J48,MATCH(YEAR(A48)+1,$E$1:$J$1,0)),"")</f>
        <v/>
      </c>
      <c r="L48">
        <f>IFERROR(D48/K48,"")</f>
        <v/>
      </c>
    </row>
    <row r="49">
      <c r="C49">
        <f>IFERROR(VLOOKUP(B49,'Subsector Map'!$A:$B,2,0),"")</f>
        <v/>
      </c>
      <c r="K49">
        <f>IFERROR(INDEX(E49:J49,MATCH(YEAR(A49)+1,$E$1:$J$1,0)),"")</f>
        <v/>
      </c>
      <c r="L49">
        <f>IFERROR(D49/K49,"")</f>
        <v/>
      </c>
    </row>
    <row r="50">
      <c r="C50">
        <f>IFERROR(VLOOKUP(B50,'Subsector Map'!$A:$B,2,0),"")</f>
        <v/>
      </c>
      <c r="K50">
        <f>IFERROR(INDEX(E50:J50,MATCH(YEAR(A50)+1,$E$1:$J$1,0)),"")</f>
        <v/>
      </c>
      <c r="L50">
        <f>IFERROR(D50/K50,"")</f>
        <v/>
      </c>
    </row>
    <row r="51">
      <c r="C51">
        <f>IFERROR(VLOOKUP(B51,'Subsector Map'!$A:$B,2,0),"")</f>
        <v/>
      </c>
      <c r="K51">
        <f>IFERROR(INDEX(E51:J51,MATCH(YEAR(A51)+1,$E$1:$J$1,0)),"")</f>
        <v/>
      </c>
      <c r="L51">
        <f>IFERROR(D51/K51,"")</f>
        <v/>
      </c>
    </row>
    <row r="52">
      <c r="C52">
        <f>IFERROR(VLOOKUP(B52,'Subsector Map'!$A:$B,2,0),"")</f>
        <v/>
      </c>
      <c r="K52">
        <f>IFERROR(INDEX(E52:J52,MATCH(YEAR(A52)+1,$E$1:$J$1,0)),"")</f>
        <v/>
      </c>
      <c r="L52">
        <f>IFERROR(D52/K52,"")</f>
        <v/>
      </c>
    </row>
    <row r="53">
      <c r="C53">
        <f>IFERROR(VLOOKUP(B53,'Subsector Map'!$A:$B,2,0),"")</f>
        <v/>
      </c>
      <c r="K53">
        <f>IFERROR(INDEX(E53:J53,MATCH(YEAR(A53)+1,$E$1:$J$1,0)),"")</f>
        <v/>
      </c>
      <c r="L53">
        <f>IFERROR(D53/K53,"")</f>
        <v/>
      </c>
    </row>
    <row r="54">
      <c r="C54">
        <f>IFERROR(VLOOKUP(B54,'Subsector Map'!$A:$B,2,0),"")</f>
        <v/>
      </c>
      <c r="K54">
        <f>IFERROR(INDEX(E54:J54,MATCH(YEAR(A54)+1,$E$1:$J$1,0)),"")</f>
        <v/>
      </c>
      <c r="L54">
        <f>IFERROR(D54/K54,"")</f>
        <v/>
      </c>
    </row>
    <row r="55">
      <c r="C55">
        <f>IFERROR(VLOOKUP(B55,'Subsector Map'!$A:$B,2,0),"")</f>
        <v/>
      </c>
      <c r="K55">
        <f>IFERROR(INDEX(E55:J55,MATCH(YEAR(A55)+1,$E$1:$J$1,0)),"")</f>
        <v/>
      </c>
      <c r="L55">
        <f>IFERROR(D55/K55,"")</f>
        <v/>
      </c>
    </row>
    <row r="56">
      <c r="C56">
        <f>IFERROR(VLOOKUP(B56,'Subsector Map'!$A:$B,2,0),"")</f>
        <v/>
      </c>
      <c r="K56">
        <f>IFERROR(INDEX(E56:J56,MATCH(YEAR(A56)+1,$E$1:$J$1,0)),"")</f>
        <v/>
      </c>
      <c r="L56">
        <f>IFERROR(D56/K56,"")</f>
        <v/>
      </c>
    </row>
    <row r="57">
      <c r="C57">
        <f>IFERROR(VLOOKUP(B57,'Subsector Map'!$A:$B,2,0),"")</f>
        <v/>
      </c>
      <c r="K57">
        <f>IFERROR(INDEX(E57:J57,MATCH(YEAR(A57)+1,$E$1:$J$1,0)),"")</f>
        <v/>
      </c>
      <c r="L57">
        <f>IFERROR(D57/K57,"")</f>
        <v/>
      </c>
    </row>
    <row r="58">
      <c r="C58">
        <f>IFERROR(VLOOKUP(B58,'Subsector Map'!$A:$B,2,0),"")</f>
        <v/>
      </c>
      <c r="K58">
        <f>IFERROR(INDEX(E58:J58,MATCH(YEAR(A58)+1,$E$1:$J$1,0)),"")</f>
        <v/>
      </c>
      <c r="L58">
        <f>IFERROR(D58/K58,"")</f>
        <v/>
      </c>
    </row>
    <row r="59">
      <c r="C59">
        <f>IFERROR(VLOOKUP(B59,'Subsector Map'!$A:$B,2,0),"")</f>
        <v/>
      </c>
      <c r="K59">
        <f>IFERROR(INDEX(E59:J59,MATCH(YEAR(A59)+1,$E$1:$J$1,0)),"")</f>
        <v/>
      </c>
      <c r="L59">
        <f>IFERROR(D59/K59,"")</f>
        <v/>
      </c>
    </row>
    <row r="60">
      <c r="C60">
        <f>IFERROR(VLOOKUP(B60,'Subsector Map'!$A:$B,2,0),"")</f>
        <v/>
      </c>
      <c r="K60">
        <f>IFERROR(INDEX(E60:J60,MATCH(YEAR(A60)+1,$E$1:$J$1,0)),"")</f>
        <v/>
      </c>
      <c r="L60">
        <f>IFERROR(D60/K60,"")</f>
        <v/>
      </c>
    </row>
    <row r="61">
      <c r="C61">
        <f>IFERROR(VLOOKUP(B61,'Subsector Map'!$A:$B,2,0),"")</f>
        <v/>
      </c>
      <c r="K61">
        <f>IFERROR(INDEX(E61:J61,MATCH(YEAR(A61)+1,$E$1:$J$1,0)),"")</f>
        <v/>
      </c>
      <c r="L61">
        <f>IFERROR(D61/K61,"")</f>
        <v/>
      </c>
    </row>
    <row r="62">
      <c r="C62">
        <f>IFERROR(VLOOKUP(B62,'Subsector Map'!$A:$B,2,0),"")</f>
        <v/>
      </c>
      <c r="K62">
        <f>IFERROR(INDEX(E62:J62,MATCH(YEAR(A62)+1,$E$1:$J$1,0)),"")</f>
        <v/>
      </c>
      <c r="L62">
        <f>IFERROR(D62/K62,"")</f>
        <v/>
      </c>
    </row>
    <row r="63">
      <c r="C63">
        <f>IFERROR(VLOOKUP(B63,'Subsector Map'!$A:$B,2,0),"")</f>
        <v/>
      </c>
      <c r="K63">
        <f>IFERROR(INDEX(E63:J63,MATCH(YEAR(A63)+1,$E$1:$J$1,0)),"")</f>
        <v/>
      </c>
      <c r="L63">
        <f>IFERROR(D63/K63,"")</f>
        <v/>
      </c>
    </row>
    <row r="64">
      <c r="C64">
        <f>IFERROR(VLOOKUP(B64,'Subsector Map'!$A:$B,2,0),"")</f>
        <v/>
      </c>
      <c r="K64">
        <f>IFERROR(INDEX(E64:J64,MATCH(YEAR(A64)+1,$E$1:$J$1,0)),"")</f>
        <v/>
      </c>
      <c r="L64">
        <f>IFERROR(D64/K64,"")</f>
        <v/>
      </c>
    </row>
    <row r="65">
      <c r="C65">
        <f>IFERROR(VLOOKUP(B65,'Subsector Map'!$A:$B,2,0),"")</f>
        <v/>
      </c>
      <c r="K65">
        <f>IFERROR(INDEX(E65:J65,MATCH(YEAR(A65)+1,$E$1:$J$1,0)),"")</f>
        <v/>
      </c>
      <c r="L65">
        <f>IFERROR(D65/K65,"")</f>
        <v/>
      </c>
    </row>
    <row r="66">
      <c r="C66">
        <f>IFERROR(VLOOKUP(B66,'Subsector Map'!$A:$B,2,0),"")</f>
        <v/>
      </c>
      <c r="K66">
        <f>IFERROR(INDEX(E66:J66,MATCH(YEAR(A66)+1,$E$1:$J$1,0)),"")</f>
        <v/>
      </c>
      <c r="L66">
        <f>IFERROR(D66/K66,"")</f>
        <v/>
      </c>
    </row>
    <row r="67">
      <c r="C67">
        <f>IFERROR(VLOOKUP(B67,'Subsector Map'!$A:$B,2,0),"")</f>
        <v/>
      </c>
      <c r="K67">
        <f>IFERROR(INDEX(E67:J67,MATCH(YEAR(A67)+1,$E$1:$J$1,0)),"")</f>
        <v/>
      </c>
      <c r="L67">
        <f>IFERROR(D67/K67,"")</f>
        <v/>
      </c>
    </row>
    <row r="68">
      <c r="C68">
        <f>IFERROR(VLOOKUP(B68,'Subsector Map'!$A:$B,2,0),"")</f>
        <v/>
      </c>
      <c r="K68">
        <f>IFERROR(INDEX(E68:J68,MATCH(YEAR(A68)+1,$E$1:$J$1,0)),"")</f>
        <v/>
      </c>
      <c r="L68">
        <f>IFERROR(D68/K68,"")</f>
        <v/>
      </c>
    </row>
    <row r="69">
      <c r="C69">
        <f>IFERROR(VLOOKUP(B69,'Subsector Map'!$A:$B,2,0),"")</f>
        <v/>
      </c>
      <c r="K69">
        <f>IFERROR(INDEX(E69:J69,MATCH(YEAR(A69)+1,$E$1:$J$1,0)),"")</f>
        <v/>
      </c>
      <c r="L69">
        <f>IFERROR(D69/K69,"")</f>
        <v/>
      </c>
    </row>
    <row r="70">
      <c r="C70">
        <f>IFERROR(VLOOKUP(B70,'Subsector Map'!$A:$B,2,0),"")</f>
        <v/>
      </c>
      <c r="K70">
        <f>IFERROR(INDEX(E70:J70,MATCH(YEAR(A70)+1,$E$1:$J$1,0)),"")</f>
        <v/>
      </c>
      <c r="L70">
        <f>IFERROR(D70/K70,"")</f>
        <v/>
      </c>
    </row>
    <row r="71">
      <c r="C71">
        <f>IFERROR(VLOOKUP(B71,'Subsector Map'!$A:$B,2,0),"")</f>
        <v/>
      </c>
      <c r="K71">
        <f>IFERROR(INDEX(E71:J71,MATCH(YEAR(A71)+1,$E$1:$J$1,0)),"")</f>
        <v/>
      </c>
      <c r="L71">
        <f>IFERROR(D71/K71,"")</f>
        <v/>
      </c>
    </row>
    <row r="72">
      <c r="C72">
        <f>IFERROR(VLOOKUP(B72,'Subsector Map'!$A:$B,2,0),"")</f>
        <v/>
      </c>
      <c r="K72">
        <f>IFERROR(INDEX(E72:J72,MATCH(YEAR(A72)+1,$E$1:$J$1,0)),"")</f>
        <v/>
      </c>
      <c r="L72">
        <f>IFERROR(D72/K72,"")</f>
        <v/>
      </c>
    </row>
    <row r="73">
      <c r="C73">
        <f>IFERROR(VLOOKUP(B73,'Subsector Map'!$A:$B,2,0),"")</f>
        <v/>
      </c>
      <c r="K73">
        <f>IFERROR(INDEX(E73:J73,MATCH(YEAR(A73)+1,$E$1:$J$1,0)),"")</f>
        <v/>
      </c>
      <c r="L73">
        <f>IFERROR(D73/K73,"")</f>
        <v/>
      </c>
    </row>
    <row r="74">
      <c r="C74">
        <f>IFERROR(VLOOKUP(B74,'Subsector Map'!$A:$B,2,0),"")</f>
        <v/>
      </c>
      <c r="K74">
        <f>IFERROR(INDEX(E74:J74,MATCH(YEAR(A74)+1,$E$1:$J$1,0)),"")</f>
        <v/>
      </c>
      <c r="L74">
        <f>IFERROR(D74/K74,"")</f>
        <v/>
      </c>
    </row>
    <row r="75">
      <c r="C75">
        <f>IFERROR(VLOOKUP(B75,'Subsector Map'!$A:$B,2,0),"")</f>
        <v/>
      </c>
      <c r="K75">
        <f>IFERROR(INDEX(E75:J75,MATCH(YEAR(A75)+1,$E$1:$J$1,0)),"")</f>
        <v/>
      </c>
      <c r="L75">
        <f>IFERROR(D75/K75,"")</f>
        <v/>
      </c>
    </row>
    <row r="76">
      <c r="C76">
        <f>IFERROR(VLOOKUP(B76,'Subsector Map'!$A:$B,2,0),"")</f>
        <v/>
      </c>
      <c r="K76">
        <f>IFERROR(INDEX(E76:J76,MATCH(YEAR(A76)+1,$E$1:$J$1,0)),"")</f>
        <v/>
      </c>
      <c r="L76">
        <f>IFERROR(D76/K76,"")</f>
        <v/>
      </c>
    </row>
    <row r="77">
      <c r="C77">
        <f>IFERROR(VLOOKUP(B77,'Subsector Map'!$A:$B,2,0),"")</f>
        <v/>
      </c>
      <c r="K77">
        <f>IFERROR(INDEX(E77:J77,MATCH(YEAR(A77)+1,$E$1:$J$1,0)),"")</f>
        <v/>
      </c>
      <c r="L77">
        <f>IFERROR(D77/K77,"")</f>
        <v/>
      </c>
    </row>
    <row r="78">
      <c r="C78">
        <f>IFERROR(VLOOKUP(B78,'Subsector Map'!$A:$B,2,0),"")</f>
        <v/>
      </c>
      <c r="K78">
        <f>IFERROR(INDEX(E78:J78,MATCH(YEAR(A78)+1,$E$1:$J$1,0)),"")</f>
        <v/>
      </c>
      <c r="L78">
        <f>IFERROR(D78/K78,"")</f>
        <v/>
      </c>
    </row>
    <row r="79">
      <c r="C79">
        <f>IFERROR(VLOOKUP(B79,'Subsector Map'!$A:$B,2,0),"")</f>
        <v/>
      </c>
      <c r="K79">
        <f>IFERROR(INDEX(E79:J79,MATCH(YEAR(A79)+1,$E$1:$J$1,0)),"")</f>
        <v/>
      </c>
      <c r="L79">
        <f>IFERROR(D79/K79,"")</f>
        <v/>
      </c>
    </row>
    <row r="80">
      <c r="C80">
        <f>IFERROR(VLOOKUP(B80,'Subsector Map'!$A:$B,2,0),"")</f>
        <v/>
      </c>
      <c r="K80">
        <f>IFERROR(INDEX(E80:J80,MATCH(YEAR(A80)+1,$E$1:$J$1,0)),"")</f>
        <v/>
      </c>
      <c r="L80">
        <f>IFERROR(D80/K80,"")</f>
        <v/>
      </c>
    </row>
    <row r="81">
      <c r="C81">
        <f>IFERROR(VLOOKUP(B81,'Subsector Map'!$A:$B,2,0),"")</f>
        <v/>
      </c>
      <c r="K81">
        <f>IFERROR(INDEX(E81:J81,MATCH(YEAR(A81)+1,$E$1:$J$1,0)),"")</f>
        <v/>
      </c>
      <c r="L81">
        <f>IFERROR(D81/K81,"")</f>
        <v/>
      </c>
    </row>
    <row r="82">
      <c r="C82">
        <f>IFERROR(VLOOKUP(B82,'Subsector Map'!$A:$B,2,0),"")</f>
        <v/>
      </c>
      <c r="K82">
        <f>IFERROR(INDEX(E82:J82,MATCH(YEAR(A82)+1,$E$1:$J$1,0)),"")</f>
        <v/>
      </c>
      <c r="L82">
        <f>IFERROR(D82/K82,"")</f>
        <v/>
      </c>
    </row>
    <row r="83">
      <c r="C83">
        <f>IFERROR(VLOOKUP(B83,'Subsector Map'!$A:$B,2,0),"")</f>
        <v/>
      </c>
      <c r="K83">
        <f>IFERROR(INDEX(E83:J83,MATCH(YEAR(A83)+1,$E$1:$J$1,0)),"")</f>
        <v/>
      </c>
      <c r="L83">
        <f>IFERROR(D83/K83,"")</f>
        <v/>
      </c>
    </row>
    <row r="84">
      <c r="C84">
        <f>IFERROR(VLOOKUP(B84,'Subsector Map'!$A:$B,2,0),"")</f>
        <v/>
      </c>
      <c r="K84">
        <f>IFERROR(INDEX(E84:J84,MATCH(YEAR(A84)+1,$E$1:$J$1,0)),"")</f>
        <v/>
      </c>
      <c r="L84">
        <f>IFERROR(D84/K84,"")</f>
        <v/>
      </c>
    </row>
    <row r="85">
      <c r="C85">
        <f>IFERROR(VLOOKUP(B85,'Subsector Map'!$A:$B,2,0),"")</f>
        <v/>
      </c>
      <c r="K85">
        <f>IFERROR(INDEX(E85:J85,MATCH(YEAR(A85)+1,$E$1:$J$1,0)),"")</f>
        <v/>
      </c>
      <c r="L85">
        <f>IFERROR(D85/K85,"")</f>
        <v/>
      </c>
    </row>
    <row r="86">
      <c r="C86">
        <f>IFERROR(VLOOKUP(B86,'Subsector Map'!$A:$B,2,0),"")</f>
        <v/>
      </c>
      <c r="K86">
        <f>IFERROR(INDEX(E86:J86,MATCH(YEAR(A86)+1,$E$1:$J$1,0)),"")</f>
        <v/>
      </c>
      <c r="L86">
        <f>IFERROR(D86/K86,"")</f>
        <v/>
      </c>
    </row>
    <row r="87">
      <c r="C87">
        <f>IFERROR(VLOOKUP(B87,'Subsector Map'!$A:$B,2,0),"")</f>
        <v/>
      </c>
      <c r="K87">
        <f>IFERROR(INDEX(E87:J87,MATCH(YEAR(A87)+1,$E$1:$J$1,0)),"")</f>
        <v/>
      </c>
      <c r="L87">
        <f>IFERROR(D87/K87,"")</f>
        <v/>
      </c>
    </row>
    <row r="88">
      <c r="C88">
        <f>IFERROR(VLOOKUP(B88,'Subsector Map'!$A:$B,2,0),"")</f>
        <v/>
      </c>
      <c r="K88">
        <f>IFERROR(INDEX(E88:J88,MATCH(YEAR(A88)+1,$E$1:$J$1,0)),"")</f>
        <v/>
      </c>
      <c r="L88">
        <f>IFERROR(D88/K88,"")</f>
        <v/>
      </c>
    </row>
    <row r="89">
      <c r="C89">
        <f>IFERROR(VLOOKUP(B89,'Subsector Map'!$A:$B,2,0),"")</f>
        <v/>
      </c>
      <c r="K89">
        <f>IFERROR(INDEX(E89:J89,MATCH(YEAR(A89)+1,$E$1:$J$1,0)),"")</f>
        <v/>
      </c>
      <c r="L89">
        <f>IFERROR(D89/K89,"")</f>
        <v/>
      </c>
    </row>
    <row r="90">
      <c r="C90">
        <f>IFERROR(VLOOKUP(B90,'Subsector Map'!$A:$B,2,0),"")</f>
        <v/>
      </c>
      <c r="K90">
        <f>IFERROR(INDEX(E90:J90,MATCH(YEAR(A90)+1,$E$1:$J$1,0)),"")</f>
        <v/>
      </c>
      <c r="L90">
        <f>IFERROR(D90/K90,"")</f>
        <v/>
      </c>
    </row>
    <row r="91">
      <c r="C91">
        <f>IFERROR(VLOOKUP(B91,'Subsector Map'!$A:$B,2,0),"")</f>
        <v/>
      </c>
      <c r="K91">
        <f>IFERROR(INDEX(E91:J91,MATCH(YEAR(A91)+1,$E$1:$J$1,0)),"")</f>
        <v/>
      </c>
      <c r="L91">
        <f>IFERROR(D91/K91,"")</f>
        <v/>
      </c>
    </row>
    <row r="92">
      <c r="C92">
        <f>IFERROR(VLOOKUP(B92,'Subsector Map'!$A:$B,2,0),"")</f>
        <v/>
      </c>
      <c r="K92">
        <f>IFERROR(INDEX(E92:J92,MATCH(YEAR(A92)+1,$E$1:$J$1,0)),"")</f>
        <v/>
      </c>
      <c r="L92">
        <f>IFERROR(D92/K92,"")</f>
        <v/>
      </c>
    </row>
    <row r="93">
      <c r="C93">
        <f>IFERROR(VLOOKUP(B93,'Subsector Map'!$A:$B,2,0),"")</f>
        <v/>
      </c>
      <c r="K93">
        <f>IFERROR(INDEX(E93:J93,MATCH(YEAR(A93)+1,$E$1:$J$1,0)),"")</f>
        <v/>
      </c>
      <c r="L93">
        <f>IFERROR(D93/K93,"")</f>
        <v/>
      </c>
    </row>
    <row r="94">
      <c r="C94">
        <f>IFERROR(VLOOKUP(B94,'Subsector Map'!$A:$B,2,0),"")</f>
        <v/>
      </c>
      <c r="K94">
        <f>IFERROR(INDEX(E94:J94,MATCH(YEAR(A94)+1,$E$1:$J$1,0)),"")</f>
        <v/>
      </c>
      <c r="L94">
        <f>IFERROR(D94/K94,"")</f>
        <v/>
      </c>
    </row>
    <row r="95">
      <c r="C95">
        <f>IFERROR(VLOOKUP(B95,'Subsector Map'!$A:$B,2,0),"")</f>
        <v/>
      </c>
      <c r="K95">
        <f>IFERROR(INDEX(E95:J95,MATCH(YEAR(A95)+1,$E$1:$J$1,0)),"")</f>
        <v/>
      </c>
      <c r="L95">
        <f>IFERROR(D95/K95,"")</f>
        <v/>
      </c>
    </row>
    <row r="96">
      <c r="C96">
        <f>IFERROR(VLOOKUP(B96,'Subsector Map'!$A:$B,2,0),"")</f>
        <v/>
      </c>
      <c r="K96">
        <f>IFERROR(INDEX(E96:J96,MATCH(YEAR(A96)+1,$E$1:$J$1,0)),"")</f>
        <v/>
      </c>
      <c r="L96">
        <f>IFERROR(D96/K96,"")</f>
        <v/>
      </c>
    </row>
    <row r="97">
      <c r="C97">
        <f>IFERROR(VLOOKUP(B97,'Subsector Map'!$A:$B,2,0),"")</f>
        <v/>
      </c>
      <c r="K97">
        <f>IFERROR(INDEX(E97:J97,MATCH(YEAR(A97)+1,$E$1:$J$1,0)),"")</f>
        <v/>
      </c>
      <c r="L97">
        <f>IFERROR(D97/K97,"")</f>
        <v/>
      </c>
    </row>
    <row r="98">
      <c r="C98">
        <f>IFERROR(VLOOKUP(B98,'Subsector Map'!$A:$B,2,0),"")</f>
        <v/>
      </c>
      <c r="K98">
        <f>IFERROR(INDEX(E98:J98,MATCH(YEAR(A98)+1,$E$1:$J$1,0)),"")</f>
        <v/>
      </c>
      <c r="L98">
        <f>IFERROR(D98/K98,"")</f>
        <v/>
      </c>
    </row>
    <row r="99">
      <c r="C99">
        <f>IFERROR(VLOOKUP(B99,'Subsector Map'!$A:$B,2,0),"")</f>
        <v/>
      </c>
      <c r="K99">
        <f>IFERROR(INDEX(E99:J99,MATCH(YEAR(A99)+1,$E$1:$J$1,0)),"")</f>
        <v/>
      </c>
      <c r="L99">
        <f>IFERROR(D99/K99,"")</f>
        <v/>
      </c>
    </row>
    <row r="100">
      <c r="C100">
        <f>IFERROR(VLOOKUP(B100,'Subsector Map'!$A:$B,2,0),"")</f>
        <v/>
      </c>
      <c r="K100">
        <f>IFERROR(INDEX(E100:J100,MATCH(YEAR(A100)+1,$E$1:$J$1,0)),"")</f>
        <v/>
      </c>
      <c r="L100">
        <f>IFERROR(D100/K100,"")</f>
        <v/>
      </c>
    </row>
    <row r="101">
      <c r="C101">
        <f>IFERROR(VLOOKUP(B101,'Subsector Map'!$A:$B,2,0),"")</f>
        <v/>
      </c>
      <c r="K101">
        <f>IFERROR(INDEX(E101:J101,MATCH(YEAR(A101)+1,$E$1:$J$1,0)),"")</f>
        <v/>
      </c>
      <c r="L101">
        <f>IFERROR(D101/K101,"")</f>
        <v/>
      </c>
    </row>
    <row r="102">
      <c r="C102">
        <f>IFERROR(VLOOKUP(B102,'Subsector Map'!$A:$B,2,0),"")</f>
        <v/>
      </c>
      <c r="K102">
        <f>IFERROR(INDEX(E102:J102,MATCH(YEAR(A102)+1,$E$1:$J$1,0)),"")</f>
        <v/>
      </c>
      <c r="L102">
        <f>IFERROR(D102/K102,"")</f>
        <v/>
      </c>
    </row>
    <row r="103">
      <c r="C103">
        <f>IFERROR(VLOOKUP(B103,'Subsector Map'!$A:$B,2,0),"")</f>
        <v/>
      </c>
      <c r="K103">
        <f>IFERROR(INDEX(E103:J103,MATCH(YEAR(A103)+1,$E$1:$J$1,0)),"")</f>
        <v/>
      </c>
      <c r="L103">
        <f>IFERROR(D103/K103,"")</f>
        <v/>
      </c>
    </row>
    <row r="104">
      <c r="C104">
        <f>IFERROR(VLOOKUP(B104,'Subsector Map'!$A:$B,2,0),"")</f>
        <v/>
      </c>
      <c r="K104">
        <f>IFERROR(INDEX(E104:J104,MATCH(YEAR(A104)+1,$E$1:$J$1,0)),"")</f>
        <v/>
      </c>
      <c r="L104">
        <f>IFERROR(D104/K104,"")</f>
        <v/>
      </c>
    </row>
    <row r="105">
      <c r="C105">
        <f>IFERROR(VLOOKUP(B105,'Subsector Map'!$A:$B,2,0),"")</f>
        <v/>
      </c>
      <c r="K105">
        <f>IFERROR(INDEX(E105:J105,MATCH(YEAR(A105)+1,$E$1:$J$1,0)),"")</f>
        <v/>
      </c>
      <c r="L105">
        <f>IFERROR(D105/K105,"")</f>
        <v/>
      </c>
    </row>
    <row r="106">
      <c r="C106">
        <f>IFERROR(VLOOKUP(B106,'Subsector Map'!$A:$B,2,0),"")</f>
        <v/>
      </c>
      <c r="K106">
        <f>IFERROR(INDEX(E106:J106,MATCH(YEAR(A106)+1,$E$1:$J$1,0)),"")</f>
        <v/>
      </c>
      <c r="L106">
        <f>IFERROR(D106/K106,"")</f>
        <v/>
      </c>
    </row>
    <row r="107">
      <c r="C107">
        <f>IFERROR(VLOOKUP(B107,'Subsector Map'!$A:$B,2,0),"")</f>
        <v/>
      </c>
      <c r="K107">
        <f>IFERROR(INDEX(E107:J107,MATCH(YEAR(A107)+1,$E$1:$J$1,0)),"")</f>
        <v/>
      </c>
      <c r="L107">
        <f>IFERROR(D107/K107,"")</f>
        <v/>
      </c>
    </row>
    <row r="108">
      <c r="C108">
        <f>IFERROR(VLOOKUP(B108,'Subsector Map'!$A:$B,2,0),"")</f>
        <v/>
      </c>
      <c r="K108">
        <f>IFERROR(INDEX(E108:J108,MATCH(YEAR(A108)+1,$E$1:$J$1,0)),"")</f>
        <v/>
      </c>
      <c r="L108">
        <f>IFERROR(D108/K108,"")</f>
        <v/>
      </c>
    </row>
    <row r="109">
      <c r="C109">
        <f>IFERROR(VLOOKUP(B109,'Subsector Map'!$A:$B,2,0),"")</f>
        <v/>
      </c>
      <c r="K109">
        <f>IFERROR(INDEX(E109:J109,MATCH(YEAR(A109)+1,$E$1:$J$1,0)),"")</f>
        <v/>
      </c>
      <c r="L109">
        <f>IFERROR(D109/K109,"")</f>
        <v/>
      </c>
    </row>
    <row r="110">
      <c r="C110">
        <f>IFERROR(VLOOKUP(B110,'Subsector Map'!$A:$B,2,0),"")</f>
        <v/>
      </c>
      <c r="K110">
        <f>IFERROR(INDEX(E110:J110,MATCH(YEAR(A110)+1,$E$1:$J$1,0)),"")</f>
        <v/>
      </c>
      <c r="L110">
        <f>IFERROR(D110/K110,"")</f>
        <v/>
      </c>
    </row>
    <row r="111">
      <c r="C111">
        <f>IFERROR(VLOOKUP(B111,'Subsector Map'!$A:$B,2,0),"")</f>
        <v/>
      </c>
      <c r="K111">
        <f>IFERROR(INDEX(E111:J111,MATCH(YEAR(A111)+1,$E$1:$J$1,0)),"")</f>
        <v/>
      </c>
      <c r="L111">
        <f>IFERROR(D111/K111,"")</f>
        <v/>
      </c>
    </row>
    <row r="112">
      <c r="C112">
        <f>IFERROR(VLOOKUP(B112,'Subsector Map'!$A:$B,2,0),"")</f>
        <v/>
      </c>
      <c r="K112">
        <f>IFERROR(INDEX(E112:J112,MATCH(YEAR(A112)+1,$E$1:$J$1,0)),"")</f>
        <v/>
      </c>
      <c r="L112">
        <f>IFERROR(D112/K112,"")</f>
        <v/>
      </c>
    </row>
    <row r="113">
      <c r="C113">
        <f>IFERROR(VLOOKUP(B113,'Subsector Map'!$A:$B,2,0),"")</f>
        <v/>
      </c>
      <c r="K113">
        <f>IFERROR(INDEX(E113:J113,MATCH(YEAR(A113)+1,$E$1:$J$1,0)),"")</f>
        <v/>
      </c>
      <c r="L113">
        <f>IFERROR(D113/K113,"")</f>
        <v/>
      </c>
    </row>
    <row r="114">
      <c r="C114">
        <f>IFERROR(VLOOKUP(B114,'Subsector Map'!$A:$B,2,0),"")</f>
        <v/>
      </c>
      <c r="K114">
        <f>IFERROR(INDEX(E114:J114,MATCH(YEAR(A114)+1,$E$1:$J$1,0)),"")</f>
        <v/>
      </c>
      <c r="L114">
        <f>IFERROR(D114/K114,"")</f>
        <v/>
      </c>
    </row>
    <row r="115">
      <c r="C115">
        <f>IFERROR(VLOOKUP(B115,'Subsector Map'!$A:$B,2,0),"")</f>
        <v/>
      </c>
      <c r="K115">
        <f>IFERROR(INDEX(E115:J115,MATCH(YEAR(A115)+1,$E$1:$J$1,0)),"")</f>
        <v/>
      </c>
      <c r="L115">
        <f>IFERROR(D115/K115,"")</f>
        <v/>
      </c>
    </row>
    <row r="116">
      <c r="C116">
        <f>IFERROR(VLOOKUP(B116,'Subsector Map'!$A:$B,2,0),"")</f>
        <v/>
      </c>
      <c r="K116">
        <f>IFERROR(INDEX(E116:J116,MATCH(YEAR(A116)+1,$E$1:$J$1,0)),"")</f>
        <v/>
      </c>
      <c r="L116">
        <f>IFERROR(D116/K116,"")</f>
        <v/>
      </c>
    </row>
    <row r="117">
      <c r="C117">
        <f>IFERROR(VLOOKUP(B117,'Subsector Map'!$A:$B,2,0),"")</f>
        <v/>
      </c>
      <c r="K117">
        <f>IFERROR(INDEX(E117:J117,MATCH(YEAR(A117)+1,$E$1:$J$1,0)),"")</f>
        <v/>
      </c>
      <c r="L117">
        <f>IFERROR(D117/K117,"")</f>
        <v/>
      </c>
    </row>
    <row r="118">
      <c r="C118">
        <f>IFERROR(VLOOKUP(B118,'Subsector Map'!$A:$B,2,0),"")</f>
        <v/>
      </c>
      <c r="K118">
        <f>IFERROR(INDEX(E118:J118,MATCH(YEAR(A118)+1,$E$1:$J$1,0)),"")</f>
        <v/>
      </c>
      <c r="L118">
        <f>IFERROR(D118/K118,"")</f>
        <v/>
      </c>
    </row>
    <row r="119">
      <c r="C119">
        <f>IFERROR(VLOOKUP(B119,'Subsector Map'!$A:$B,2,0),"")</f>
        <v/>
      </c>
      <c r="K119">
        <f>IFERROR(INDEX(E119:J119,MATCH(YEAR(A119)+1,$E$1:$J$1,0)),"")</f>
        <v/>
      </c>
      <c r="L119">
        <f>IFERROR(D119/K119,"")</f>
        <v/>
      </c>
    </row>
    <row r="120">
      <c r="C120">
        <f>IFERROR(VLOOKUP(B120,'Subsector Map'!$A:$B,2,0),"")</f>
        <v/>
      </c>
      <c r="K120">
        <f>IFERROR(INDEX(E120:J120,MATCH(YEAR(A120)+1,$E$1:$J$1,0)),"")</f>
        <v/>
      </c>
      <c r="L120">
        <f>IFERROR(D120/K120,"")</f>
        <v/>
      </c>
    </row>
    <row r="121">
      <c r="C121">
        <f>IFERROR(VLOOKUP(B121,'Subsector Map'!$A:$B,2,0),"")</f>
        <v/>
      </c>
      <c r="K121">
        <f>IFERROR(INDEX(E121:J121,MATCH(YEAR(A121)+1,$E$1:$J$1,0)),"")</f>
        <v/>
      </c>
      <c r="L121">
        <f>IFERROR(D121/K121,"")</f>
        <v/>
      </c>
    </row>
    <row r="122">
      <c r="C122">
        <f>IFERROR(VLOOKUP(B122,'Subsector Map'!$A:$B,2,0),"")</f>
        <v/>
      </c>
      <c r="K122">
        <f>IFERROR(INDEX(E122:J122,MATCH(YEAR(A122)+1,$E$1:$J$1,0)),"")</f>
        <v/>
      </c>
      <c r="L122">
        <f>IFERROR(D122/K122,"")</f>
        <v/>
      </c>
    </row>
    <row r="123">
      <c r="C123">
        <f>IFERROR(VLOOKUP(B123,'Subsector Map'!$A:$B,2,0),"")</f>
        <v/>
      </c>
      <c r="K123">
        <f>IFERROR(INDEX(E123:J123,MATCH(YEAR(A123)+1,$E$1:$J$1,0)),"")</f>
        <v/>
      </c>
      <c r="L123">
        <f>IFERROR(D123/K123,"")</f>
        <v/>
      </c>
    </row>
    <row r="124">
      <c r="C124">
        <f>IFERROR(VLOOKUP(B124,'Subsector Map'!$A:$B,2,0),"")</f>
        <v/>
      </c>
      <c r="K124">
        <f>IFERROR(INDEX(E124:J124,MATCH(YEAR(A124)+1,$E$1:$J$1,0)),"")</f>
        <v/>
      </c>
      <c r="L124">
        <f>IFERROR(D124/K124,"")</f>
        <v/>
      </c>
    </row>
    <row r="125">
      <c r="C125">
        <f>IFERROR(VLOOKUP(B125,'Subsector Map'!$A:$B,2,0),"")</f>
        <v/>
      </c>
      <c r="K125">
        <f>IFERROR(INDEX(E125:J125,MATCH(YEAR(A125)+1,$E$1:$J$1,0)),"")</f>
        <v/>
      </c>
      <c r="L125">
        <f>IFERROR(D125/K125,"")</f>
        <v/>
      </c>
    </row>
    <row r="126">
      <c r="C126">
        <f>IFERROR(VLOOKUP(B126,'Subsector Map'!$A:$B,2,0),"")</f>
        <v/>
      </c>
      <c r="K126">
        <f>IFERROR(INDEX(E126:J126,MATCH(YEAR(A126)+1,$E$1:$J$1,0)),"")</f>
        <v/>
      </c>
      <c r="L126">
        <f>IFERROR(D126/K126,"")</f>
        <v/>
      </c>
    </row>
    <row r="127">
      <c r="C127">
        <f>IFERROR(VLOOKUP(B127,'Subsector Map'!$A:$B,2,0),"")</f>
        <v/>
      </c>
      <c r="K127">
        <f>IFERROR(INDEX(E127:J127,MATCH(YEAR(A127)+1,$E$1:$J$1,0)),"")</f>
        <v/>
      </c>
      <c r="L127">
        <f>IFERROR(D127/K127,"")</f>
        <v/>
      </c>
    </row>
    <row r="128">
      <c r="C128">
        <f>IFERROR(VLOOKUP(B128,'Subsector Map'!$A:$B,2,0),"")</f>
        <v/>
      </c>
      <c r="K128">
        <f>IFERROR(INDEX(E128:J128,MATCH(YEAR(A128)+1,$E$1:$J$1,0)),"")</f>
        <v/>
      </c>
      <c r="L128">
        <f>IFERROR(D128/K128,"")</f>
        <v/>
      </c>
    </row>
    <row r="129">
      <c r="C129">
        <f>IFERROR(VLOOKUP(B129,'Subsector Map'!$A:$B,2,0),"")</f>
        <v/>
      </c>
      <c r="K129">
        <f>IFERROR(INDEX(E129:J129,MATCH(YEAR(A129)+1,$E$1:$J$1,0)),"")</f>
        <v/>
      </c>
      <c r="L129">
        <f>IFERROR(D129/K129,"")</f>
        <v/>
      </c>
    </row>
    <row r="130">
      <c r="C130">
        <f>IFERROR(VLOOKUP(B130,'Subsector Map'!$A:$B,2,0),"")</f>
        <v/>
      </c>
      <c r="K130">
        <f>IFERROR(INDEX(E130:J130,MATCH(YEAR(A130)+1,$E$1:$J$1,0)),"")</f>
        <v/>
      </c>
      <c r="L130">
        <f>IFERROR(D130/K130,"")</f>
        <v/>
      </c>
    </row>
    <row r="131">
      <c r="C131">
        <f>IFERROR(VLOOKUP(B131,'Subsector Map'!$A:$B,2,0),"")</f>
        <v/>
      </c>
      <c r="K131">
        <f>IFERROR(INDEX(E131:J131,MATCH(YEAR(A131)+1,$E$1:$J$1,0)),"")</f>
        <v/>
      </c>
      <c r="L131">
        <f>IFERROR(D131/K131,"")</f>
        <v/>
      </c>
    </row>
    <row r="132">
      <c r="C132">
        <f>IFERROR(VLOOKUP(B132,'Subsector Map'!$A:$B,2,0),"")</f>
        <v/>
      </c>
      <c r="K132">
        <f>IFERROR(INDEX(E132:J132,MATCH(YEAR(A132)+1,$E$1:$J$1,0)),"")</f>
        <v/>
      </c>
      <c r="L132">
        <f>IFERROR(D132/K132,"")</f>
        <v/>
      </c>
    </row>
    <row r="133">
      <c r="C133">
        <f>IFERROR(VLOOKUP(B133,'Subsector Map'!$A:$B,2,0),"")</f>
        <v/>
      </c>
      <c r="K133">
        <f>IFERROR(INDEX(E133:J133,MATCH(YEAR(A133)+1,$E$1:$J$1,0)),"")</f>
        <v/>
      </c>
      <c r="L133">
        <f>IFERROR(D133/K133,"")</f>
        <v/>
      </c>
    </row>
    <row r="134">
      <c r="C134">
        <f>IFERROR(VLOOKUP(B134,'Subsector Map'!$A:$B,2,0),"")</f>
        <v/>
      </c>
      <c r="K134">
        <f>IFERROR(INDEX(E134:J134,MATCH(YEAR(A134)+1,$E$1:$J$1,0)),"")</f>
        <v/>
      </c>
      <c r="L134">
        <f>IFERROR(D134/K134,"")</f>
        <v/>
      </c>
    </row>
    <row r="135">
      <c r="C135">
        <f>IFERROR(VLOOKUP(B135,'Subsector Map'!$A:$B,2,0),"")</f>
        <v/>
      </c>
      <c r="K135">
        <f>IFERROR(INDEX(E135:J135,MATCH(YEAR(A135)+1,$E$1:$J$1,0)),"")</f>
        <v/>
      </c>
      <c r="L135">
        <f>IFERROR(D135/K135,"")</f>
        <v/>
      </c>
    </row>
    <row r="136">
      <c r="C136">
        <f>IFERROR(VLOOKUP(B136,'Subsector Map'!$A:$B,2,0),"")</f>
        <v/>
      </c>
      <c r="K136">
        <f>IFERROR(INDEX(E136:J136,MATCH(YEAR(A136)+1,$E$1:$J$1,0)),"")</f>
        <v/>
      </c>
      <c r="L136">
        <f>IFERROR(D136/K136,"")</f>
        <v/>
      </c>
    </row>
    <row r="137">
      <c r="C137">
        <f>IFERROR(VLOOKUP(B137,'Subsector Map'!$A:$B,2,0),"")</f>
        <v/>
      </c>
      <c r="K137">
        <f>IFERROR(INDEX(E137:J137,MATCH(YEAR(A137)+1,$E$1:$J$1,0)),"")</f>
        <v/>
      </c>
      <c r="L137">
        <f>IFERROR(D137/K137,"")</f>
        <v/>
      </c>
    </row>
    <row r="138">
      <c r="C138">
        <f>IFERROR(VLOOKUP(B138,'Subsector Map'!$A:$B,2,0),"")</f>
        <v/>
      </c>
      <c r="K138">
        <f>IFERROR(INDEX(E138:J138,MATCH(YEAR(A138)+1,$E$1:$J$1,0)),"")</f>
        <v/>
      </c>
      <c r="L138">
        <f>IFERROR(D138/K138,"")</f>
        <v/>
      </c>
    </row>
    <row r="139">
      <c r="C139">
        <f>IFERROR(VLOOKUP(B139,'Subsector Map'!$A:$B,2,0),"")</f>
        <v/>
      </c>
      <c r="K139">
        <f>IFERROR(INDEX(E139:J139,MATCH(YEAR(A139)+1,$E$1:$J$1,0)),"")</f>
        <v/>
      </c>
      <c r="L139">
        <f>IFERROR(D139/K139,"")</f>
        <v/>
      </c>
    </row>
    <row r="140">
      <c r="C140">
        <f>IFERROR(VLOOKUP(B140,'Subsector Map'!$A:$B,2,0),"")</f>
        <v/>
      </c>
      <c r="K140">
        <f>IFERROR(INDEX(E140:J140,MATCH(YEAR(A140)+1,$E$1:$J$1,0)),"")</f>
        <v/>
      </c>
      <c r="L140">
        <f>IFERROR(D140/K140,"")</f>
        <v/>
      </c>
    </row>
    <row r="141">
      <c r="C141">
        <f>IFERROR(VLOOKUP(B141,'Subsector Map'!$A:$B,2,0),"")</f>
        <v/>
      </c>
      <c r="K141">
        <f>IFERROR(INDEX(E141:J141,MATCH(YEAR(A141)+1,$E$1:$J$1,0)),"")</f>
        <v/>
      </c>
      <c r="L141">
        <f>IFERROR(D141/K141,"")</f>
        <v/>
      </c>
    </row>
    <row r="142">
      <c r="C142">
        <f>IFERROR(VLOOKUP(B142,'Subsector Map'!$A:$B,2,0),"")</f>
        <v/>
      </c>
      <c r="K142">
        <f>IFERROR(INDEX(E142:J142,MATCH(YEAR(A142)+1,$E$1:$J$1,0)),"")</f>
        <v/>
      </c>
      <c r="L142">
        <f>IFERROR(D142/K142,"")</f>
        <v/>
      </c>
    </row>
    <row r="143">
      <c r="C143">
        <f>IFERROR(VLOOKUP(B143,'Subsector Map'!$A:$B,2,0),"")</f>
        <v/>
      </c>
      <c r="K143">
        <f>IFERROR(INDEX(E143:J143,MATCH(YEAR(A143)+1,$E$1:$J$1,0)),"")</f>
        <v/>
      </c>
      <c r="L143">
        <f>IFERROR(D143/K143,"")</f>
        <v/>
      </c>
    </row>
    <row r="144">
      <c r="C144">
        <f>IFERROR(VLOOKUP(B144,'Subsector Map'!$A:$B,2,0),"")</f>
        <v/>
      </c>
      <c r="K144">
        <f>IFERROR(INDEX(E144:J144,MATCH(YEAR(A144)+1,$E$1:$J$1,0)),"")</f>
        <v/>
      </c>
      <c r="L144">
        <f>IFERROR(D144/K144,"")</f>
        <v/>
      </c>
    </row>
    <row r="145">
      <c r="C145">
        <f>IFERROR(VLOOKUP(B145,'Subsector Map'!$A:$B,2,0),"")</f>
        <v/>
      </c>
      <c r="K145">
        <f>IFERROR(INDEX(E145:J145,MATCH(YEAR(A145)+1,$E$1:$J$1,0)),"")</f>
        <v/>
      </c>
      <c r="L145">
        <f>IFERROR(D145/K145,"")</f>
        <v/>
      </c>
    </row>
    <row r="146">
      <c r="C146">
        <f>IFERROR(VLOOKUP(B146,'Subsector Map'!$A:$B,2,0),"")</f>
        <v/>
      </c>
      <c r="K146">
        <f>IFERROR(INDEX(E146:J146,MATCH(YEAR(A146)+1,$E$1:$J$1,0)),"")</f>
        <v/>
      </c>
      <c r="L146">
        <f>IFERROR(D146/K146,"")</f>
        <v/>
      </c>
    </row>
    <row r="147">
      <c r="C147">
        <f>IFERROR(VLOOKUP(B147,'Subsector Map'!$A:$B,2,0),"")</f>
        <v/>
      </c>
      <c r="K147">
        <f>IFERROR(INDEX(E147:J147,MATCH(YEAR(A147)+1,$E$1:$J$1,0)),"")</f>
        <v/>
      </c>
      <c r="L147">
        <f>IFERROR(D147/K147,"")</f>
        <v/>
      </c>
    </row>
    <row r="148">
      <c r="C148">
        <f>IFERROR(VLOOKUP(B148,'Subsector Map'!$A:$B,2,0),"")</f>
        <v/>
      </c>
      <c r="K148">
        <f>IFERROR(INDEX(E148:J148,MATCH(YEAR(A148)+1,$E$1:$J$1,0)),"")</f>
        <v/>
      </c>
      <c r="L148">
        <f>IFERROR(D148/K148,"")</f>
        <v/>
      </c>
    </row>
    <row r="149">
      <c r="C149">
        <f>IFERROR(VLOOKUP(B149,'Subsector Map'!$A:$B,2,0),"")</f>
        <v/>
      </c>
      <c r="K149">
        <f>IFERROR(INDEX(E149:J149,MATCH(YEAR(A149)+1,$E$1:$J$1,0)),"")</f>
        <v/>
      </c>
      <c r="L149">
        <f>IFERROR(D149/K149,"")</f>
        <v/>
      </c>
    </row>
    <row r="150">
      <c r="C150">
        <f>IFERROR(VLOOKUP(B150,'Subsector Map'!$A:$B,2,0),"")</f>
        <v/>
      </c>
      <c r="K150">
        <f>IFERROR(INDEX(E150:J150,MATCH(YEAR(A150)+1,$E$1:$J$1,0)),"")</f>
        <v/>
      </c>
      <c r="L150">
        <f>IFERROR(D150/K150,"")</f>
        <v/>
      </c>
    </row>
    <row r="151">
      <c r="C151">
        <f>IFERROR(VLOOKUP(B151,'Subsector Map'!$A:$B,2,0),"")</f>
        <v/>
      </c>
      <c r="K151">
        <f>IFERROR(INDEX(E151:J151,MATCH(YEAR(A151)+1,$E$1:$J$1,0)),"")</f>
        <v/>
      </c>
      <c r="L151">
        <f>IFERROR(D151/K151,"")</f>
        <v/>
      </c>
    </row>
    <row r="152">
      <c r="C152">
        <f>IFERROR(VLOOKUP(B152,'Subsector Map'!$A:$B,2,0),"")</f>
        <v/>
      </c>
      <c r="K152">
        <f>IFERROR(INDEX(E152:J152,MATCH(YEAR(A152)+1,$E$1:$J$1,0)),"")</f>
        <v/>
      </c>
      <c r="L152">
        <f>IFERROR(D152/K152,"")</f>
        <v/>
      </c>
    </row>
    <row r="153">
      <c r="C153">
        <f>IFERROR(VLOOKUP(B153,'Subsector Map'!$A:$B,2,0),"")</f>
        <v/>
      </c>
      <c r="K153">
        <f>IFERROR(INDEX(E153:J153,MATCH(YEAR(A153)+1,$E$1:$J$1,0)),"")</f>
        <v/>
      </c>
      <c r="L153">
        <f>IFERROR(D153/K153,"")</f>
        <v/>
      </c>
    </row>
    <row r="154">
      <c r="C154">
        <f>IFERROR(VLOOKUP(B154,'Subsector Map'!$A:$B,2,0),"")</f>
        <v/>
      </c>
      <c r="K154">
        <f>IFERROR(INDEX(E154:J154,MATCH(YEAR(A154)+1,$E$1:$J$1,0)),"")</f>
        <v/>
      </c>
      <c r="L154">
        <f>IFERROR(D154/K154,"")</f>
        <v/>
      </c>
    </row>
    <row r="155">
      <c r="C155">
        <f>IFERROR(VLOOKUP(B155,'Subsector Map'!$A:$B,2,0),"")</f>
        <v/>
      </c>
      <c r="K155">
        <f>IFERROR(INDEX(E155:J155,MATCH(YEAR(A155)+1,$E$1:$J$1,0)),"")</f>
        <v/>
      </c>
      <c r="L155">
        <f>IFERROR(D155/K155,"")</f>
        <v/>
      </c>
    </row>
    <row r="156">
      <c r="C156">
        <f>IFERROR(VLOOKUP(B156,'Subsector Map'!$A:$B,2,0),"")</f>
        <v/>
      </c>
      <c r="K156">
        <f>IFERROR(INDEX(E156:J156,MATCH(YEAR(A156)+1,$E$1:$J$1,0)),"")</f>
        <v/>
      </c>
      <c r="L156">
        <f>IFERROR(D156/K156,"")</f>
        <v/>
      </c>
    </row>
    <row r="157">
      <c r="C157">
        <f>IFERROR(VLOOKUP(B157,'Subsector Map'!$A:$B,2,0),"")</f>
        <v/>
      </c>
      <c r="K157">
        <f>IFERROR(INDEX(E157:J157,MATCH(YEAR(A157)+1,$E$1:$J$1,0)),"")</f>
        <v/>
      </c>
      <c r="L157">
        <f>IFERROR(D157/K157,"")</f>
        <v/>
      </c>
    </row>
    <row r="158">
      <c r="C158">
        <f>IFERROR(VLOOKUP(B158,'Subsector Map'!$A:$B,2,0),"")</f>
        <v/>
      </c>
      <c r="K158">
        <f>IFERROR(INDEX(E158:J158,MATCH(YEAR(A158)+1,$E$1:$J$1,0)),"")</f>
        <v/>
      </c>
      <c r="L158">
        <f>IFERROR(D158/K158,"")</f>
        <v/>
      </c>
    </row>
    <row r="159">
      <c r="C159">
        <f>IFERROR(VLOOKUP(B159,'Subsector Map'!$A:$B,2,0),"")</f>
        <v/>
      </c>
      <c r="K159">
        <f>IFERROR(INDEX(E159:J159,MATCH(YEAR(A159)+1,$E$1:$J$1,0)),"")</f>
        <v/>
      </c>
      <c r="L159">
        <f>IFERROR(D159/K159,"")</f>
        <v/>
      </c>
    </row>
    <row r="160">
      <c r="C160">
        <f>IFERROR(VLOOKUP(B160,'Subsector Map'!$A:$B,2,0),"")</f>
        <v/>
      </c>
      <c r="K160">
        <f>IFERROR(INDEX(E160:J160,MATCH(YEAR(A160)+1,$E$1:$J$1,0)),"")</f>
        <v/>
      </c>
      <c r="L160">
        <f>IFERROR(D160/K160,"")</f>
        <v/>
      </c>
    </row>
    <row r="161">
      <c r="C161">
        <f>IFERROR(VLOOKUP(B161,'Subsector Map'!$A:$B,2,0),"")</f>
        <v/>
      </c>
      <c r="K161">
        <f>IFERROR(INDEX(E161:J161,MATCH(YEAR(A161)+1,$E$1:$J$1,0)),"")</f>
        <v/>
      </c>
      <c r="L161">
        <f>IFERROR(D161/K161,"")</f>
        <v/>
      </c>
    </row>
    <row r="162">
      <c r="C162">
        <f>IFERROR(VLOOKUP(B162,'Subsector Map'!$A:$B,2,0),"")</f>
        <v/>
      </c>
      <c r="K162">
        <f>IFERROR(INDEX(E162:J162,MATCH(YEAR(A162)+1,$E$1:$J$1,0)),"")</f>
        <v/>
      </c>
      <c r="L162">
        <f>IFERROR(D162/K162,"")</f>
        <v/>
      </c>
    </row>
    <row r="163">
      <c r="C163">
        <f>IFERROR(VLOOKUP(B163,'Subsector Map'!$A:$B,2,0),"")</f>
        <v/>
      </c>
      <c r="K163">
        <f>IFERROR(INDEX(E163:J163,MATCH(YEAR(A163)+1,$E$1:$J$1,0)),"")</f>
        <v/>
      </c>
      <c r="L163">
        <f>IFERROR(D163/K163,"")</f>
        <v/>
      </c>
    </row>
    <row r="164">
      <c r="C164">
        <f>IFERROR(VLOOKUP(B164,'Subsector Map'!$A:$B,2,0),"")</f>
        <v/>
      </c>
      <c r="K164">
        <f>IFERROR(INDEX(E164:J164,MATCH(YEAR(A164)+1,$E$1:$J$1,0)),"")</f>
        <v/>
      </c>
      <c r="L164">
        <f>IFERROR(D164/K164,"")</f>
        <v/>
      </c>
    </row>
    <row r="165">
      <c r="C165">
        <f>IFERROR(VLOOKUP(B165,'Subsector Map'!$A:$B,2,0),"")</f>
        <v/>
      </c>
      <c r="K165">
        <f>IFERROR(INDEX(E165:J165,MATCH(YEAR(A165)+1,$E$1:$J$1,0)),"")</f>
        <v/>
      </c>
      <c r="L165">
        <f>IFERROR(D165/K165,"")</f>
        <v/>
      </c>
    </row>
    <row r="166">
      <c r="C166">
        <f>IFERROR(VLOOKUP(B166,'Subsector Map'!$A:$B,2,0),"")</f>
        <v/>
      </c>
      <c r="K166">
        <f>IFERROR(INDEX(E166:J166,MATCH(YEAR(A166)+1,$E$1:$J$1,0)),"")</f>
        <v/>
      </c>
      <c r="L166">
        <f>IFERROR(D166/K166,"")</f>
        <v/>
      </c>
    </row>
    <row r="167">
      <c r="C167">
        <f>IFERROR(VLOOKUP(B167,'Subsector Map'!$A:$B,2,0),"")</f>
        <v/>
      </c>
      <c r="K167">
        <f>IFERROR(INDEX(E167:J167,MATCH(YEAR(A167)+1,$E$1:$J$1,0)),"")</f>
        <v/>
      </c>
      <c r="L167">
        <f>IFERROR(D167/K167,"")</f>
        <v/>
      </c>
    </row>
    <row r="168">
      <c r="C168">
        <f>IFERROR(VLOOKUP(B168,'Subsector Map'!$A:$B,2,0),"")</f>
        <v/>
      </c>
      <c r="K168">
        <f>IFERROR(INDEX(E168:J168,MATCH(YEAR(A168)+1,$E$1:$J$1,0)),"")</f>
        <v/>
      </c>
      <c r="L168">
        <f>IFERROR(D168/K168,"")</f>
        <v/>
      </c>
    </row>
    <row r="169">
      <c r="C169">
        <f>IFERROR(VLOOKUP(B169,'Subsector Map'!$A:$B,2,0),"")</f>
        <v/>
      </c>
      <c r="K169">
        <f>IFERROR(INDEX(E169:J169,MATCH(YEAR(A169)+1,$E$1:$J$1,0)),"")</f>
        <v/>
      </c>
      <c r="L169">
        <f>IFERROR(D169/K169,"")</f>
        <v/>
      </c>
    </row>
    <row r="170">
      <c r="C170">
        <f>IFERROR(VLOOKUP(B170,'Subsector Map'!$A:$B,2,0),"")</f>
        <v/>
      </c>
      <c r="K170">
        <f>IFERROR(INDEX(E170:J170,MATCH(YEAR(A170)+1,$E$1:$J$1,0)),"")</f>
        <v/>
      </c>
      <c r="L170">
        <f>IFERROR(D170/K170,"")</f>
        <v/>
      </c>
    </row>
    <row r="171">
      <c r="C171">
        <f>IFERROR(VLOOKUP(B171,'Subsector Map'!$A:$B,2,0),"")</f>
        <v/>
      </c>
      <c r="K171">
        <f>IFERROR(INDEX(E171:J171,MATCH(YEAR(A171)+1,$E$1:$J$1,0)),"")</f>
        <v/>
      </c>
      <c r="L171">
        <f>IFERROR(D171/K171,"")</f>
        <v/>
      </c>
    </row>
    <row r="172">
      <c r="C172">
        <f>IFERROR(VLOOKUP(B172,'Subsector Map'!$A:$B,2,0),"")</f>
        <v/>
      </c>
      <c r="K172">
        <f>IFERROR(INDEX(E172:J172,MATCH(YEAR(A172)+1,$E$1:$J$1,0)),"")</f>
        <v/>
      </c>
      <c r="L172">
        <f>IFERROR(D172/K172,"")</f>
        <v/>
      </c>
    </row>
    <row r="173">
      <c r="C173">
        <f>IFERROR(VLOOKUP(B173,'Subsector Map'!$A:$B,2,0),"")</f>
        <v/>
      </c>
      <c r="K173">
        <f>IFERROR(INDEX(E173:J173,MATCH(YEAR(A173)+1,$E$1:$J$1,0)),"")</f>
        <v/>
      </c>
      <c r="L173">
        <f>IFERROR(D173/K173,"")</f>
        <v/>
      </c>
    </row>
    <row r="174">
      <c r="C174">
        <f>IFERROR(VLOOKUP(B174,'Subsector Map'!$A:$B,2,0),"")</f>
        <v/>
      </c>
      <c r="K174">
        <f>IFERROR(INDEX(E174:J174,MATCH(YEAR(A174)+1,$E$1:$J$1,0)),"")</f>
        <v/>
      </c>
      <c r="L174">
        <f>IFERROR(D174/K174,"")</f>
        <v/>
      </c>
    </row>
    <row r="175">
      <c r="C175">
        <f>IFERROR(VLOOKUP(B175,'Subsector Map'!$A:$B,2,0),"")</f>
        <v/>
      </c>
      <c r="K175">
        <f>IFERROR(INDEX(E175:J175,MATCH(YEAR(A175)+1,$E$1:$J$1,0)),"")</f>
        <v/>
      </c>
      <c r="L175">
        <f>IFERROR(D175/K175,"")</f>
        <v/>
      </c>
    </row>
    <row r="176">
      <c r="C176">
        <f>IFERROR(VLOOKUP(B176,'Subsector Map'!$A:$B,2,0),"")</f>
        <v/>
      </c>
      <c r="K176">
        <f>IFERROR(INDEX(E176:J176,MATCH(YEAR(A176)+1,$E$1:$J$1,0)),"")</f>
        <v/>
      </c>
      <c r="L176">
        <f>IFERROR(D176/K176,"")</f>
        <v/>
      </c>
    </row>
    <row r="177">
      <c r="C177">
        <f>IFERROR(VLOOKUP(B177,'Subsector Map'!$A:$B,2,0),"")</f>
        <v/>
      </c>
      <c r="K177">
        <f>IFERROR(INDEX(E177:J177,MATCH(YEAR(A177)+1,$E$1:$J$1,0)),"")</f>
        <v/>
      </c>
      <c r="L177">
        <f>IFERROR(D177/K177,"")</f>
        <v/>
      </c>
    </row>
    <row r="178">
      <c r="C178">
        <f>IFERROR(VLOOKUP(B178,'Subsector Map'!$A:$B,2,0),"")</f>
        <v/>
      </c>
      <c r="K178">
        <f>IFERROR(INDEX(E178:J178,MATCH(YEAR(A178)+1,$E$1:$J$1,0)),"")</f>
        <v/>
      </c>
      <c r="L178">
        <f>IFERROR(D178/K178,"")</f>
        <v/>
      </c>
    </row>
    <row r="179">
      <c r="C179">
        <f>IFERROR(VLOOKUP(B179,'Subsector Map'!$A:$B,2,0),"")</f>
        <v/>
      </c>
      <c r="K179">
        <f>IFERROR(INDEX(E179:J179,MATCH(YEAR(A179)+1,$E$1:$J$1,0)),"")</f>
        <v/>
      </c>
      <c r="L179">
        <f>IFERROR(D179/K179,"")</f>
        <v/>
      </c>
    </row>
    <row r="180">
      <c r="C180">
        <f>IFERROR(VLOOKUP(B180,'Subsector Map'!$A:$B,2,0),"")</f>
        <v/>
      </c>
      <c r="K180">
        <f>IFERROR(INDEX(E180:J180,MATCH(YEAR(A180)+1,$E$1:$J$1,0)),"")</f>
        <v/>
      </c>
      <c r="L180">
        <f>IFERROR(D180/K180,"")</f>
        <v/>
      </c>
    </row>
    <row r="181">
      <c r="C181">
        <f>IFERROR(VLOOKUP(B181,'Subsector Map'!$A:$B,2,0),"")</f>
        <v/>
      </c>
      <c r="K181">
        <f>IFERROR(INDEX(E181:J181,MATCH(YEAR(A181)+1,$E$1:$J$1,0)),"")</f>
        <v/>
      </c>
      <c r="L181">
        <f>IFERROR(D181/K181,"")</f>
        <v/>
      </c>
    </row>
    <row r="182">
      <c r="C182">
        <f>IFERROR(VLOOKUP(B182,'Subsector Map'!$A:$B,2,0),"")</f>
        <v/>
      </c>
      <c r="K182">
        <f>IFERROR(INDEX(E182:J182,MATCH(YEAR(A182)+1,$E$1:$J$1,0)),"")</f>
        <v/>
      </c>
      <c r="L182">
        <f>IFERROR(D182/K182,"")</f>
        <v/>
      </c>
    </row>
    <row r="183">
      <c r="C183">
        <f>IFERROR(VLOOKUP(B183,'Subsector Map'!$A:$B,2,0),"")</f>
        <v/>
      </c>
      <c r="K183">
        <f>IFERROR(INDEX(E183:J183,MATCH(YEAR(A183)+1,$E$1:$J$1,0)),"")</f>
        <v/>
      </c>
      <c r="L183">
        <f>IFERROR(D183/K183,"")</f>
        <v/>
      </c>
    </row>
    <row r="184">
      <c r="C184">
        <f>IFERROR(VLOOKUP(B184,'Subsector Map'!$A:$B,2,0),"")</f>
        <v/>
      </c>
      <c r="K184">
        <f>IFERROR(INDEX(E184:J184,MATCH(YEAR(A184)+1,$E$1:$J$1,0)),"")</f>
        <v/>
      </c>
      <c r="L184">
        <f>IFERROR(D184/K184,"")</f>
        <v/>
      </c>
    </row>
    <row r="185">
      <c r="C185">
        <f>IFERROR(VLOOKUP(B185,'Subsector Map'!$A:$B,2,0),"")</f>
        <v/>
      </c>
      <c r="K185">
        <f>IFERROR(INDEX(E185:J185,MATCH(YEAR(A185)+1,$E$1:$J$1,0)),"")</f>
        <v/>
      </c>
      <c r="L185">
        <f>IFERROR(D185/K185,"")</f>
        <v/>
      </c>
    </row>
    <row r="186">
      <c r="C186">
        <f>IFERROR(VLOOKUP(B186,'Subsector Map'!$A:$B,2,0),"")</f>
        <v/>
      </c>
      <c r="K186">
        <f>IFERROR(INDEX(E186:J186,MATCH(YEAR(A186)+1,$E$1:$J$1,0)),"")</f>
        <v/>
      </c>
      <c r="L186">
        <f>IFERROR(D186/K186,"")</f>
        <v/>
      </c>
    </row>
    <row r="187">
      <c r="C187">
        <f>IFERROR(VLOOKUP(B187,'Subsector Map'!$A:$B,2,0),"")</f>
        <v/>
      </c>
      <c r="K187">
        <f>IFERROR(INDEX(E187:J187,MATCH(YEAR(A187)+1,$E$1:$J$1,0)),"")</f>
        <v/>
      </c>
      <c r="L187">
        <f>IFERROR(D187/K187,"")</f>
        <v/>
      </c>
    </row>
    <row r="188">
      <c r="C188">
        <f>IFERROR(VLOOKUP(B188,'Subsector Map'!$A:$B,2,0),"")</f>
        <v/>
      </c>
      <c r="K188">
        <f>IFERROR(INDEX(E188:J188,MATCH(YEAR(A188)+1,$E$1:$J$1,0)),"")</f>
        <v/>
      </c>
      <c r="L188">
        <f>IFERROR(D188/K188,"")</f>
        <v/>
      </c>
    </row>
    <row r="189">
      <c r="C189">
        <f>IFERROR(VLOOKUP(B189,'Subsector Map'!$A:$B,2,0),"")</f>
        <v/>
      </c>
      <c r="K189">
        <f>IFERROR(INDEX(E189:J189,MATCH(YEAR(A189)+1,$E$1:$J$1,0)),"")</f>
        <v/>
      </c>
      <c r="L189">
        <f>IFERROR(D189/K189,"")</f>
        <v/>
      </c>
    </row>
    <row r="190">
      <c r="C190">
        <f>IFERROR(VLOOKUP(B190,'Subsector Map'!$A:$B,2,0),"")</f>
        <v/>
      </c>
      <c r="K190">
        <f>IFERROR(INDEX(E190:J190,MATCH(YEAR(A190)+1,$E$1:$J$1,0)),"")</f>
        <v/>
      </c>
      <c r="L190">
        <f>IFERROR(D190/K190,"")</f>
        <v/>
      </c>
    </row>
    <row r="191">
      <c r="C191">
        <f>IFERROR(VLOOKUP(B191,'Subsector Map'!$A:$B,2,0),"")</f>
        <v/>
      </c>
      <c r="K191">
        <f>IFERROR(INDEX(E191:J191,MATCH(YEAR(A191)+1,$E$1:$J$1,0)),"")</f>
        <v/>
      </c>
      <c r="L191">
        <f>IFERROR(D191/K191,"")</f>
        <v/>
      </c>
    </row>
    <row r="192">
      <c r="C192">
        <f>IFERROR(VLOOKUP(B192,'Subsector Map'!$A:$B,2,0),"")</f>
        <v/>
      </c>
      <c r="K192">
        <f>IFERROR(INDEX(E192:J192,MATCH(YEAR(A192)+1,$E$1:$J$1,0)),"")</f>
        <v/>
      </c>
      <c r="L192">
        <f>IFERROR(D192/K192,"")</f>
        <v/>
      </c>
    </row>
    <row r="193">
      <c r="C193">
        <f>IFERROR(VLOOKUP(B193,'Subsector Map'!$A:$B,2,0),"")</f>
        <v/>
      </c>
      <c r="K193">
        <f>IFERROR(INDEX(E193:J193,MATCH(YEAR(A193)+1,$E$1:$J$1,0)),"")</f>
        <v/>
      </c>
      <c r="L193">
        <f>IFERROR(D193/K193,"")</f>
        <v/>
      </c>
    </row>
    <row r="194">
      <c r="C194">
        <f>IFERROR(VLOOKUP(B194,'Subsector Map'!$A:$B,2,0),"")</f>
        <v/>
      </c>
      <c r="K194">
        <f>IFERROR(INDEX(E194:J194,MATCH(YEAR(A194)+1,$E$1:$J$1,0)),"")</f>
        <v/>
      </c>
      <c r="L194">
        <f>IFERROR(D194/K194,"")</f>
        <v/>
      </c>
    </row>
    <row r="195">
      <c r="C195">
        <f>IFERROR(VLOOKUP(B195,'Subsector Map'!$A:$B,2,0),"")</f>
        <v/>
      </c>
      <c r="K195">
        <f>IFERROR(INDEX(E195:J195,MATCH(YEAR(A195)+1,$E$1:$J$1,0)),"")</f>
        <v/>
      </c>
      <c r="L195">
        <f>IFERROR(D195/K195,"")</f>
        <v/>
      </c>
    </row>
    <row r="196">
      <c r="C196">
        <f>IFERROR(VLOOKUP(B196,'Subsector Map'!$A:$B,2,0),"")</f>
        <v/>
      </c>
      <c r="K196">
        <f>IFERROR(INDEX(E196:J196,MATCH(YEAR(A196)+1,$E$1:$J$1,0)),"")</f>
        <v/>
      </c>
      <c r="L196">
        <f>IFERROR(D196/K196,"")</f>
        <v/>
      </c>
    </row>
    <row r="197">
      <c r="C197">
        <f>IFERROR(VLOOKUP(B197,'Subsector Map'!$A:$B,2,0),"")</f>
        <v/>
      </c>
      <c r="K197">
        <f>IFERROR(INDEX(E197:J197,MATCH(YEAR(A197)+1,$E$1:$J$1,0)),"")</f>
        <v/>
      </c>
      <c r="L197">
        <f>IFERROR(D197/K197,"")</f>
        <v/>
      </c>
    </row>
    <row r="198">
      <c r="C198">
        <f>IFERROR(VLOOKUP(B198,'Subsector Map'!$A:$B,2,0),"")</f>
        <v/>
      </c>
      <c r="K198">
        <f>IFERROR(INDEX(E198:J198,MATCH(YEAR(A198)+1,$E$1:$J$1,0)),"")</f>
        <v/>
      </c>
      <c r="L198">
        <f>IFERROR(D198/K198,"")</f>
        <v/>
      </c>
    </row>
    <row r="199">
      <c r="C199">
        <f>IFERROR(VLOOKUP(B199,'Subsector Map'!$A:$B,2,0),"")</f>
        <v/>
      </c>
      <c r="K199">
        <f>IFERROR(INDEX(E199:J199,MATCH(YEAR(A199)+1,$E$1:$J$1,0)),"")</f>
        <v/>
      </c>
      <c r="L199">
        <f>IFERROR(D199/K199,"")</f>
        <v/>
      </c>
    </row>
    <row r="200">
      <c r="C200">
        <f>IFERROR(VLOOKUP(B200,'Subsector Map'!$A:$B,2,0),"")</f>
        <v/>
      </c>
      <c r="K200">
        <f>IFERROR(INDEX(E200:J200,MATCH(YEAR(A200)+1,$E$1:$J$1,0)),"")</f>
        <v/>
      </c>
      <c r="L200">
        <f>IFERROR(D200/K200,"")</f>
        <v/>
      </c>
    </row>
    <row r="201">
      <c r="C201">
        <f>IFERROR(VLOOKUP(B201,'Subsector Map'!$A:$B,2,0),"")</f>
        <v/>
      </c>
      <c r="K201">
        <f>IFERROR(INDEX(E201:J201,MATCH(YEAR(A201)+1,$E$1:$J$1,0)),"")</f>
        <v/>
      </c>
      <c r="L201">
        <f>IFERROR(D201/K201,"")</f>
        <v/>
      </c>
    </row>
    <row r="202">
      <c r="C202">
        <f>IFERROR(VLOOKUP(B202,'Subsector Map'!$A:$B,2,0),"")</f>
        <v/>
      </c>
      <c r="K202">
        <f>IFERROR(INDEX(E202:J202,MATCH(YEAR(A202)+1,$E$1:$J$1,0)),"")</f>
        <v/>
      </c>
      <c r="L202">
        <f>IFERROR(D202/K202,"")</f>
        <v/>
      </c>
    </row>
    <row r="203">
      <c r="C203">
        <f>IFERROR(VLOOKUP(B203,'Subsector Map'!$A:$B,2,0),"")</f>
        <v/>
      </c>
      <c r="K203">
        <f>IFERROR(INDEX(E203:J203,MATCH(YEAR(A203)+1,$E$1:$J$1,0)),"")</f>
        <v/>
      </c>
      <c r="L203">
        <f>IFERROR(D203/K203,"")</f>
        <v/>
      </c>
    </row>
    <row r="204">
      <c r="C204">
        <f>IFERROR(VLOOKUP(B204,'Subsector Map'!$A:$B,2,0),"")</f>
        <v/>
      </c>
      <c r="K204">
        <f>IFERROR(INDEX(E204:J204,MATCH(YEAR(A204)+1,$E$1:$J$1,0)),"")</f>
        <v/>
      </c>
      <c r="L204">
        <f>IFERROR(D204/K204,"")</f>
        <v/>
      </c>
    </row>
    <row r="205">
      <c r="C205">
        <f>IFERROR(VLOOKUP(B205,'Subsector Map'!$A:$B,2,0),"")</f>
        <v/>
      </c>
      <c r="K205">
        <f>IFERROR(INDEX(E205:J205,MATCH(YEAR(A205)+1,$E$1:$J$1,0)),"")</f>
        <v/>
      </c>
      <c r="L205">
        <f>IFERROR(D205/K205,"")</f>
        <v/>
      </c>
    </row>
    <row r="206">
      <c r="C206">
        <f>IFERROR(VLOOKUP(B206,'Subsector Map'!$A:$B,2,0),"")</f>
        <v/>
      </c>
      <c r="K206">
        <f>IFERROR(INDEX(E206:J206,MATCH(YEAR(A206)+1,$E$1:$J$1,0)),"")</f>
        <v/>
      </c>
      <c r="L206">
        <f>IFERROR(D206/K206,"")</f>
        <v/>
      </c>
    </row>
    <row r="207">
      <c r="C207">
        <f>IFERROR(VLOOKUP(B207,'Subsector Map'!$A:$B,2,0),"")</f>
        <v/>
      </c>
      <c r="K207">
        <f>IFERROR(INDEX(E207:J207,MATCH(YEAR(A207)+1,$E$1:$J$1,0)),"")</f>
        <v/>
      </c>
      <c r="L207">
        <f>IFERROR(D207/K207,"")</f>
        <v/>
      </c>
    </row>
    <row r="208">
      <c r="C208">
        <f>IFERROR(VLOOKUP(B208,'Subsector Map'!$A:$B,2,0),"")</f>
        <v/>
      </c>
      <c r="K208">
        <f>IFERROR(INDEX(E208:J208,MATCH(YEAR(A208)+1,$E$1:$J$1,0)),"")</f>
        <v/>
      </c>
      <c r="L208">
        <f>IFERROR(D208/K208,"")</f>
        <v/>
      </c>
    </row>
    <row r="209">
      <c r="C209">
        <f>IFERROR(VLOOKUP(B209,'Subsector Map'!$A:$B,2,0),"")</f>
        <v/>
      </c>
      <c r="K209">
        <f>IFERROR(INDEX(E209:J209,MATCH(YEAR(A209)+1,$E$1:$J$1,0)),"")</f>
        <v/>
      </c>
      <c r="L209">
        <f>IFERROR(D209/K209,"")</f>
        <v/>
      </c>
    </row>
    <row r="210">
      <c r="C210">
        <f>IFERROR(VLOOKUP(B210,'Subsector Map'!$A:$B,2,0),"")</f>
        <v/>
      </c>
      <c r="K210">
        <f>IFERROR(INDEX(E210:J210,MATCH(YEAR(A210)+1,$E$1:$J$1,0)),"")</f>
        <v/>
      </c>
      <c r="L210">
        <f>IFERROR(D210/K210,"")</f>
        <v/>
      </c>
    </row>
    <row r="211">
      <c r="C211">
        <f>IFERROR(VLOOKUP(B211,'Subsector Map'!$A:$B,2,0),"")</f>
        <v/>
      </c>
      <c r="K211">
        <f>IFERROR(INDEX(E211:J211,MATCH(YEAR(A211)+1,$E$1:$J$1,0)),"")</f>
        <v/>
      </c>
      <c r="L211">
        <f>IFERROR(D211/K211,"")</f>
        <v/>
      </c>
    </row>
    <row r="212">
      <c r="C212">
        <f>IFERROR(VLOOKUP(B212,'Subsector Map'!$A:$B,2,0),"")</f>
        <v/>
      </c>
      <c r="K212">
        <f>IFERROR(INDEX(E212:J212,MATCH(YEAR(A212)+1,$E$1:$J$1,0)),"")</f>
        <v/>
      </c>
      <c r="L212">
        <f>IFERROR(D212/K212,"")</f>
        <v/>
      </c>
    </row>
    <row r="213">
      <c r="C213">
        <f>IFERROR(VLOOKUP(B213,'Subsector Map'!$A:$B,2,0),"")</f>
        <v/>
      </c>
      <c r="K213">
        <f>IFERROR(INDEX(E213:J213,MATCH(YEAR(A213)+1,$E$1:$J$1,0)),"")</f>
        <v/>
      </c>
      <c r="L213">
        <f>IFERROR(D213/K213,"")</f>
        <v/>
      </c>
    </row>
    <row r="214">
      <c r="C214">
        <f>IFERROR(VLOOKUP(B214,'Subsector Map'!$A:$B,2,0),"")</f>
        <v/>
      </c>
      <c r="K214">
        <f>IFERROR(INDEX(E214:J214,MATCH(YEAR(A214)+1,$E$1:$J$1,0)),"")</f>
        <v/>
      </c>
      <c r="L214">
        <f>IFERROR(D214/K214,"")</f>
        <v/>
      </c>
    </row>
    <row r="215">
      <c r="C215">
        <f>IFERROR(VLOOKUP(B215,'Subsector Map'!$A:$B,2,0),"")</f>
        <v/>
      </c>
      <c r="K215">
        <f>IFERROR(INDEX(E215:J215,MATCH(YEAR(A215)+1,$E$1:$J$1,0)),"")</f>
        <v/>
      </c>
      <c r="L215">
        <f>IFERROR(D215/K215,"")</f>
        <v/>
      </c>
    </row>
    <row r="216">
      <c r="C216">
        <f>IFERROR(VLOOKUP(B216,'Subsector Map'!$A:$B,2,0),"")</f>
        <v/>
      </c>
      <c r="K216">
        <f>IFERROR(INDEX(E216:J216,MATCH(YEAR(A216)+1,$E$1:$J$1,0)),"")</f>
        <v/>
      </c>
      <c r="L216">
        <f>IFERROR(D216/K216,"")</f>
        <v/>
      </c>
    </row>
    <row r="217">
      <c r="C217">
        <f>IFERROR(VLOOKUP(B217,'Subsector Map'!$A:$B,2,0),"")</f>
        <v/>
      </c>
      <c r="K217">
        <f>IFERROR(INDEX(E217:J217,MATCH(YEAR(A217)+1,$E$1:$J$1,0)),"")</f>
        <v/>
      </c>
      <c r="L217">
        <f>IFERROR(D217/K217,"")</f>
        <v/>
      </c>
    </row>
    <row r="218">
      <c r="C218">
        <f>IFERROR(VLOOKUP(B218,'Subsector Map'!$A:$B,2,0),"")</f>
        <v/>
      </c>
      <c r="K218">
        <f>IFERROR(INDEX(E218:J218,MATCH(YEAR(A218)+1,$E$1:$J$1,0)),"")</f>
        <v/>
      </c>
      <c r="L218">
        <f>IFERROR(D218/K218,"")</f>
        <v/>
      </c>
    </row>
    <row r="219">
      <c r="C219">
        <f>IFERROR(VLOOKUP(B219,'Subsector Map'!$A:$B,2,0),"")</f>
        <v/>
      </c>
      <c r="K219">
        <f>IFERROR(INDEX(E219:J219,MATCH(YEAR(A219)+1,$E$1:$J$1,0)),"")</f>
        <v/>
      </c>
      <c r="L219">
        <f>IFERROR(D219/K219,"")</f>
        <v/>
      </c>
    </row>
    <row r="220">
      <c r="C220">
        <f>IFERROR(VLOOKUP(B220,'Subsector Map'!$A:$B,2,0),"")</f>
        <v/>
      </c>
      <c r="K220">
        <f>IFERROR(INDEX(E220:J220,MATCH(YEAR(A220)+1,$E$1:$J$1,0)),"")</f>
        <v/>
      </c>
      <c r="L220">
        <f>IFERROR(D220/K220,"")</f>
        <v/>
      </c>
    </row>
    <row r="221">
      <c r="C221">
        <f>IFERROR(VLOOKUP(B221,'Subsector Map'!$A:$B,2,0),"")</f>
        <v/>
      </c>
      <c r="K221">
        <f>IFERROR(INDEX(E221:J221,MATCH(YEAR(A221)+1,$E$1:$J$1,0)),"")</f>
        <v/>
      </c>
      <c r="L221">
        <f>IFERROR(D221/K221,"")</f>
        <v/>
      </c>
    </row>
    <row r="222">
      <c r="C222">
        <f>IFERROR(VLOOKUP(B222,'Subsector Map'!$A:$B,2,0),"")</f>
        <v/>
      </c>
      <c r="K222">
        <f>IFERROR(INDEX(E222:J222,MATCH(YEAR(A222)+1,$E$1:$J$1,0)),"")</f>
        <v/>
      </c>
      <c r="L222">
        <f>IFERROR(D222/K222,"")</f>
        <v/>
      </c>
    </row>
    <row r="223">
      <c r="C223">
        <f>IFERROR(VLOOKUP(B223,'Subsector Map'!$A:$B,2,0),"")</f>
        <v/>
      </c>
      <c r="K223">
        <f>IFERROR(INDEX(E223:J223,MATCH(YEAR(A223)+1,$E$1:$J$1,0)),"")</f>
        <v/>
      </c>
      <c r="L223">
        <f>IFERROR(D223/K223,"")</f>
        <v/>
      </c>
    </row>
    <row r="224">
      <c r="C224">
        <f>IFERROR(VLOOKUP(B224,'Subsector Map'!$A:$B,2,0),"")</f>
        <v/>
      </c>
      <c r="K224">
        <f>IFERROR(INDEX(E224:J224,MATCH(YEAR(A224)+1,$E$1:$J$1,0)),"")</f>
        <v/>
      </c>
      <c r="L224">
        <f>IFERROR(D224/K224,"")</f>
        <v/>
      </c>
    </row>
    <row r="225">
      <c r="C225">
        <f>IFERROR(VLOOKUP(B225,'Subsector Map'!$A:$B,2,0),"")</f>
        <v/>
      </c>
      <c r="K225">
        <f>IFERROR(INDEX(E225:J225,MATCH(YEAR(A225)+1,$E$1:$J$1,0)),"")</f>
        <v/>
      </c>
      <c r="L225">
        <f>IFERROR(D225/K225,"")</f>
        <v/>
      </c>
    </row>
    <row r="226">
      <c r="C226">
        <f>IFERROR(VLOOKUP(B226,'Subsector Map'!$A:$B,2,0),"")</f>
        <v/>
      </c>
      <c r="K226">
        <f>IFERROR(INDEX(E226:J226,MATCH(YEAR(A226)+1,$E$1:$J$1,0)),"")</f>
        <v/>
      </c>
      <c r="L226">
        <f>IFERROR(D226/K226,"")</f>
        <v/>
      </c>
    </row>
    <row r="227">
      <c r="C227">
        <f>IFERROR(VLOOKUP(B227,'Subsector Map'!$A:$B,2,0),"")</f>
        <v/>
      </c>
      <c r="K227">
        <f>IFERROR(INDEX(E227:J227,MATCH(YEAR(A227)+1,$E$1:$J$1,0)),"")</f>
        <v/>
      </c>
      <c r="L227">
        <f>IFERROR(D227/K227,"")</f>
        <v/>
      </c>
    </row>
    <row r="228">
      <c r="C228">
        <f>IFERROR(VLOOKUP(B228,'Subsector Map'!$A:$B,2,0),"")</f>
        <v/>
      </c>
      <c r="K228">
        <f>IFERROR(INDEX(E228:J228,MATCH(YEAR(A228)+1,$E$1:$J$1,0)),"")</f>
        <v/>
      </c>
      <c r="L228">
        <f>IFERROR(D228/K228,"")</f>
        <v/>
      </c>
    </row>
    <row r="229">
      <c r="C229">
        <f>IFERROR(VLOOKUP(B229,'Subsector Map'!$A:$B,2,0),"")</f>
        <v/>
      </c>
      <c r="K229">
        <f>IFERROR(INDEX(E229:J229,MATCH(YEAR(A229)+1,$E$1:$J$1,0)),"")</f>
        <v/>
      </c>
      <c r="L229">
        <f>IFERROR(D229/K229,"")</f>
        <v/>
      </c>
    </row>
    <row r="230">
      <c r="C230">
        <f>IFERROR(VLOOKUP(B230,'Subsector Map'!$A:$B,2,0),"")</f>
        <v/>
      </c>
      <c r="K230">
        <f>IFERROR(INDEX(E230:J230,MATCH(YEAR(A230)+1,$E$1:$J$1,0)),"")</f>
        <v/>
      </c>
      <c r="L230">
        <f>IFERROR(D230/K230,"")</f>
        <v/>
      </c>
    </row>
    <row r="231">
      <c r="C231">
        <f>IFERROR(VLOOKUP(B231,'Subsector Map'!$A:$B,2,0),"")</f>
        <v/>
      </c>
      <c r="K231">
        <f>IFERROR(INDEX(E231:J231,MATCH(YEAR(A231)+1,$E$1:$J$1,0)),"")</f>
        <v/>
      </c>
      <c r="L231">
        <f>IFERROR(D231/K231,"")</f>
        <v/>
      </c>
    </row>
    <row r="232">
      <c r="C232">
        <f>IFERROR(VLOOKUP(B232,'Subsector Map'!$A:$B,2,0),"")</f>
        <v/>
      </c>
      <c r="K232">
        <f>IFERROR(INDEX(E232:J232,MATCH(YEAR(A232)+1,$E$1:$J$1,0)),"")</f>
        <v/>
      </c>
      <c r="L232">
        <f>IFERROR(D232/K232,"")</f>
        <v/>
      </c>
    </row>
    <row r="233">
      <c r="C233">
        <f>IFERROR(VLOOKUP(B233,'Subsector Map'!$A:$B,2,0),"")</f>
        <v/>
      </c>
      <c r="K233">
        <f>IFERROR(INDEX(E233:J233,MATCH(YEAR(A233)+1,$E$1:$J$1,0)),"")</f>
        <v/>
      </c>
      <c r="L233">
        <f>IFERROR(D233/K233,"")</f>
        <v/>
      </c>
    </row>
    <row r="234">
      <c r="C234">
        <f>IFERROR(VLOOKUP(B234,'Subsector Map'!$A:$B,2,0),"")</f>
        <v/>
      </c>
      <c r="K234">
        <f>IFERROR(INDEX(E234:J234,MATCH(YEAR(A234)+1,$E$1:$J$1,0)),"")</f>
        <v/>
      </c>
      <c r="L234">
        <f>IFERROR(D234/K234,"")</f>
        <v/>
      </c>
    </row>
    <row r="235">
      <c r="C235">
        <f>IFERROR(VLOOKUP(B235,'Subsector Map'!$A:$B,2,0),"")</f>
        <v/>
      </c>
      <c r="K235">
        <f>IFERROR(INDEX(E235:J235,MATCH(YEAR(A235)+1,$E$1:$J$1,0)),"")</f>
        <v/>
      </c>
      <c r="L235">
        <f>IFERROR(D235/K235,"")</f>
        <v/>
      </c>
    </row>
    <row r="236">
      <c r="C236">
        <f>IFERROR(VLOOKUP(B236,'Subsector Map'!$A:$B,2,0),"")</f>
        <v/>
      </c>
      <c r="K236">
        <f>IFERROR(INDEX(E236:J236,MATCH(YEAR(A236)+1,$E$1:$J$1,0)),"")</f>
        <v/>
      </c>
      <c r="L236">
        <f>IFERROR(D236/K236,"")</f>
        <v/>
      </c>
    </row>
    <row r="237">
      <c r="C237">
        <f>IFERROR(VLOOKUP(B237,'Subsector Map'!$A:$B,2,0),"")</f>
        <v/>
      </c>
      <c r="K237">
        <f>IFERROR(INDEX(E237:J237,MATCH(YEAR(A237)+1,$E$1:$J$1,0)),"")</f>
        <v/>
      </c>
      <c r="L237">
        <f>IFERROR(D237/K237,"")</f>
        <v/>
      </c>
    </row>
    <row r="238">
      <c r="C238">
        <f>IFERROR(VLOOKUP(B238,'Subsector Map'!$A:$B,2,0),"")</f>
        <v/>
      </c>
      <c r="K238">
        <f>IFERROR(INDEX(E238:J238,MATCH(YEAR(A238)+1,$E$1:$J$1,0)),"")</f>
        <v/>
      </c>
      <c r="L238">
        <f>IFERROR(D238/K238,"")</f>
        <v/>
      </c>
    </row>
    <row r="239">
      <c r="C239">
        <f>IFERROR(VLOOKUP(B239,'Subsector Map'!$A:$B,2,0),"")</f>
        <v/>
      </c>
      <c r="K239">
        <f>IFERROR(INDEX(E239:J239,MATCH(YEAR(A239)+1,$E$1:$J$1,0)),"")</f>
        <v/>
      </c>
      <c r="L239">
        <f>IFERROR(D239/K239,"")</f>
        <v/>
      </c>
    </row>
    <row r="240">
      <c r="C240">
        <f>IFERROR(VLOOKUP(B240,'Subsector Map'!$A:$B,2,0),"")</f>
        <v/>
      </c>
      <c r="K240">
        <f>IFERROR(INDEX(E240:J240,MATCH(YEAR(A240)+1,$E$1:$J$1,0)),"")</f>
        <v/>
      </c>
      <c r="L240">
        <f>IFERROR(D240/K240,"")</f>
        <v/>
      </c>
    </row>
    <row r="241">
      <c r="C241">
        <f>IFERROR(VLOOKUP(B241,'Subsector Map'!$A:$B,2,0),"")</f>
        <v/>
      </c>
      <c r="K241">
        <f>IFERROR(INDEX(E241:J241,MATCH(YEAR(A241)+1,$E$1:$J$1,0)),"")</f>
        <v/>
      </c>
      <c r="L241">
        <f>IFERROR(D241/K241,"")</f>
        <v/>
      </c>
    </row>
    <row r="242">
      <c r="C242">
        <f>IFERROR(VLOOKUP(B242,'Subsector Map'!$A:$B,2,0),"")</f>
        <v/>
      </c>
      <c r="K242">
        <f>IFERROR(INDEX(E242:J242,MATCH(YEAR(A242)+1,$E$1:$J$1,0)),"")</f>
        <v/>
      </c>
      <c r="L242">
        <f>IFERROR(D242/K242,"")</f>
        <v/>
      </c>
    </row>
    <row r="243">
      <c r="C243">
        <f>IFERROR(VLOOKUP(B243,'Subsector Map'!$A:$B,2,0),"")</f>
        <v/>
      </c>
      <c r="K243">
        <f>IFERROR(INDEX(E243:J243,MATCH(YEAR(A243)+1,$E$1:$J$1,0)),"")</f>
        <v/>
      </c>
      <c r="L243">
        <f>IFERROR(D243/K243,"")</f>
        <v/>
      </c>
    </row>
    <row r="244">
      <c r="C244">
        <f>IFERROR(VLOOKUP(B244,'Subsector Map'!$A:$B,2,0),"")</f>
        <v/>
      </c>
      <c r="K244">
        <f>IFERROR(INDEX(E244:J244,MATCH(YEAR(A244)+1,$E$1:$J$1,0)),"")</f>
        <v/>
      </c>
      <c r="L244">
        <f>IFERROR(D244/K244,"")</f>
        <v/>
      </c>
    </row>
    <row r="245">
      <c r="C245">
        <f>IFERROR(VLOOKUP(B245,'Subsector Map'!$A:$B,2,0),"")</f>
        <v/>
      </c>
      <c r="K245">
        <f>IFERROR(INDEX(E245:J245,MATCH(YEAR(A245)+1,$E$1:$J$1,0)),"")</f>
        <v/>
      </c>
      <c r="L245">
        <f>IFERROR(D245/K245,"")</f>
        <v/>
      </c>
    </row>
    <row r="246">
      <c r="C246">
        <f>IFERROR(VLOOKUP(B246,'Subsector Map'!$A:$B,2,0),"")</f>
        <v/>
      </c>
      <c r="K246">
        <f>IFERROR(INDEX(E246:J246,MATCH(YEAR(A246)+1,$E$1:$J$1,0)),"")</f>
        <v/>
      </c>
      <c r="L246">
        <f>IFERROR(D246/K246,"")</f>
        <v/>
      </c>
    </row>
    <row r="247">
      <c r="C247">
        <f>IFERROR(VLOOKUP(B247,'Subsector Map'!$A:$B,2,0),"")</f>
        <v/>
      </c>
      <c r="K247">
        <f>IFERROR(INDEX(E247:J247,MATCH(YEAR(A247)+1,$E$1:$J$1,0)),"")</f>
        <v/>
      </c>
      <c r="L247">
        <f>IFERROR(D247/K247,"")</f>
        <v/>
      </c>
    </row>
    <row r="248">
      <c r="C248">
        <f>IFERROR(VLOOKUP(B248,'Subsector Map'!$A:$B,2,0),"")</f>
        <v/>
      </c>
      <c r="K248">
        <f>IFERROR(INDEX(E248:J248,MATCH(YEAR(A248)+1,$E$1:$J$1,0)),"")</f>
        <v/>
      </c>
      <c r="L248">
        <f>IFERROR(D248/K248,"")</f>
        <v/>
      </c>
    </row>
    <row r="249">
      <c r="C249">
        <f>IFERROR(VLOOKUP(B249,'Subsector Map'!$A:$B,2,0),"")</f>
        <v/>
      </c>
      <c r="K249">
        <f>IFERROR(INDEX(E249:J249,MATCH(YEAR(A249)+1,$E$1:$J$1,0)),"")</f>
        <v/>
      </c>
      <c r="L249">
        <f>IFERROR(D249/K249,"")</f>
        <v/>
      </c>
    </row>
    <row r="250">
      <c r="C250">
        <f>IFERROR(VLOOKUP(B250,'Subsector Map'!$A:$B,2,0),"")</f>
        <v/>
      </c>
      <c r="K250">
        <f>IFERROR(INDEX(E250:J250,MATCH(YEAR(A250)+1,$E$1:$J$1,0)),"")</f>
        <v/>
      </c>
      <c r="L250">
        <f>IFERROR(D250/K250,"")</f>
        <v/>
      </c>
    </row>
    <row r="251">
      <c r="C251">
        <f>IFERROR(VLOOKUP(B251,'Subsector Map'!$A:$B,2,0),"")</f>
        <v/>
      </c>
      <c r="K251">
        <f>IFERROR(INDEX(E251:J251,MATCH(YEAR(A251)+1,$E$1:$J$1,0)),"")</f>
        <v/>
      </c>
      <c r="L251">
        <f>IFERROR(D251/K251,"")</f>
        <v/>
      </c>
    </row>
    <row r="252">
      <c r="C252">
        <f>IFERROR(VLOOKUP(B252,'Subsector Map'!$A:$B,2,0),"")</f>
        <v/>
      </c>
      <c r="K252">
        <f>IFERROR(INDEX(E252:J252,MATCH(YEAR(A252)+1,$E$1:$J$1,0)),"")</f>
        <v/>
      </c>
      <c r="L252">
        <f>IFERROR(D252/K252,"")</f>
        <v/>
      </c>
    </row>
    <row r="253">
      <c r="C253">
        <f>IFERROR(VLOOKUP(B253,'Subsector Map'!$A:$B,2,0),"")</f>
        <v/>
      </c>
      <c r="K253">
        <f>IFERROR(INDEX(E253:J253,MATCH(YEAR(A253)+1,$E$1:$J$1,0)),"")</f>
        <v/>
      </c>
      <c r="L253">
        <f>IFERROR(D253/K253,"")</f>
        <v/>
      </c>
    </row>
    <row r="254">
      <c r="C254">
        <f>IFERROR(VLOOKUP(B254,'Subsector Map'!$A:$B,2,0),"")</f>
        <v/>
      </c>
      <c r="K254">
        <f>IFERROR(INDEX(E254:J254,MATCH(YEAR(A254)+1,$E$1:$J$1,0)),"")</f>
        <v/>
      </c>
      <c r="L254">
        <f>IFERROR(D254/K254,"")</f>
        <v/>
      </c>
    </row>
    <row r="255">
      <c r="C255">
        <f>IFERROR(VLOOKUP(B255,'Subsector Map'!$A:$B,2,0),"")</f>
        <v/>
      </c>
      <c r="K255">
        <f>IFERROR(INDEX(E255:J255,MATCH(YEAR(A255)+1,$E$1:$J$1,0)),"")</f>
        <v/>
      </c>
      <c r="L255">
        <f>IFERROR(D255/K255,"")</f>
        <v/>
      </c>
    </row>
    <row r="256">
      <c r="C256">
        <f>IFERROR(VLOOKUP(B256,'Subsector Map'!$A:$B,2,0),"")</f>
        <v/>
      </c>
      <c r="K256">
        <f>IFERROR(INDEX(E256:J256,MATCH(YEAR(A256)+1,$E$1:$J$1,0)),"")</f>
        <v/>
      </c>
      <c r="L256">
        <f>IFERROR(D256/K256,"")</f>
        <v/>
      </c>
    </row>
    <row r="257">
      <c r="C257">
        <f>IFERROR(VLOOKUP(B257,'Subsector Map'!$A:$B,2,0),"")</f>
        <v/>
      </c>
      <c r="K257">
        <f>IFERROR(INDEX(E257:J257,MATCH(YEAR(A257)+1,$E$1:$J$1,0)),"")</f>
        <v/>
      </c>
      <c r="L257">
        <f>IFERROR(D257/K257,"")</f>
        <v/>
      </c>
    </row>
    <row r="258">
      <c r="C258">
        <f>IFERROR(VLOOKUP(B258,'Subsector Map'!$A:$B,2,0),"")</f>
        <v/>
      </c>
      <c r="K258">
        <f>IFERROR(INDEX(E258:J258,MATCH(YEAR(A258)+1,$E$1:$J$1,0)),"")</f>
        <v/>
      </c>
      <c r="L258">
        <f>IFERROR(D258/K258,"")</f>
        <v/>
      </c>
    </row>
    <row r="259">
      <c r="C259">
        <f>IFERROR(VLOOKUP(B259,'Subsector Map'!$A:$B,2,0),"")</f>
        <v/>
      </c>
      <c r="K259">
        <f>IFERROR(INDEX(E259:J259,MATCH(YEAR(A259)+1,$E$1:$J$1,0)),"")</f>
        <v/>
      </c>
      <c r="L259">
        <f>IFERROR(D259/K259,"")</f>
        <v/>
      </c>
    </row>
    <row r="260">
      <c r="C260">
        <f>IFERROR(VLOOKUP(B260,'Subsector Map'!$A:$B,2,0),"")</f>
        <v/>
      </c>
      <c r="K260">
        <f>IFERROR(INDEX(E260:J260,MATCH(YEAR(A260)+1,$E$1:$J$1,0)),"")</f>
        <v/>
      </c>
      <c r="L260">
        <f>IFERROR(D260/K260,"")</f>
        <v/>
      </c>
    </row>
    <row r="261">
      <c r="C261">
        <f>IFERROR(VLOOKUP(B261,'Subsector Map'!$A:$B,2,0),"")</f>
        <v/>
      </c>
      <c r="K261">
        <f>IFERROR(INDEX(E261:J261,MATCH(YEAR(A261)+1,$E$1:$J$1,0)),"")</f>
        <v/>
      </c>
      <c r="L261">
        <f>IFERROR(D261/K261,"")</f>
        <v/>
      </c>
    </row>
    <row r="262">
      <c r="C262">
        <f>IFERROR(VLOOKUP(B262,'Subsector Map'!$A:$B,2,0),"")</f>
        <v/>
      </c>
      <c r="K262">
        <f>IFERROR(INDEX(E262:J262,MATCH(YEAR(A262)+1,$E$1:$J$1,0)),"")</f>
        <v/>
      </c>
      <c r="L262">
        <f>IFERROR(D262/K262,"")</f>
        <v/>
      </c>
    </row>
    <row r="263">
      <c r="C263">
        <f>IFERROR(VLOOKUP(B263,'Subsector Map'!$A:$B,2,0),"")</f>
        <v/>
      </c>
      <c r="K263">
        <f>IFERROR(INDEX(E263:J263,MATCH(YEAR(A263)+1,$E$1:$J$1,0)),"")</f>
        <v/>
      </c>
      <c r="L263">
        <f>IFERROR(D263/K263,"")</f>
        <v/>
      </c>
    </row>
    <row r="264">
      <c r="C264">
        <f>IFERROR(VLOOKUP(B264,'Subsector Map'!$A:$B,2,0),"")</f>
        <v/>
      </c>
      <c r="K264">
        <f>IFERROR(INDEX(E264:J264,MATCH(YEAR(A264)+1,$E$1:$J$1,0)),"")</f>
        <v/>
      </c>
      <c r="L264">
        <f>IFERROR(D264/K264,"")</f>
        <v/>
      </c>
    </row>
    <row r="265">
      <c r="C265">
        <f>IFERROR(VLOOKUP(B265,'Subsector Map'!$A:$B,2,0),"")</f>
        <v/>
      </c>
      <c r="K265">
        <f>IFERROR(INDEX(E265:J265,MATCH(YEAR(A265)+1,$E$1:$J$1,0)),"")</f>
        <v/>
      </c>
      <c r="L265">
        <f>IFERROR(D265/K265,"")</f>
        <v/>
      </c>
    </row>
    <row r="266">
      <c r="C266">
        <f>IFERROR(VLOOKUP(B266,'Subsector Map'!$A:$B,2,0),"")</f>
        <v/>
      </c>
      <c r="K266">
        <f>IFERROR(INDEX(E266:J266,MATCH(YEAR(A266)+1,$E$1:$J$1,0)),"")</f>
        <v/>
      </c>
      <c r="L266">
        <f>IFERROR(D266/K266,"")</f>
        <v/>
      </c>
    </row>
    <row r="267">
      <c r="C267">
        <f>IFERROR(VLOOKUP(B267,'Subsector Map'!$A:$B,2,0),"")</f>
        <v/>
      </c>
      <c r="K267">
        <f>IFERROR(INDEX(E267:J267,MATCH(YEAR(A267)+1,$E$1:$J$1,0)),"")</f>
        <v/>
      </c>
      <c r="L267">
        <f>IFERROR(D267/K267,"")</f>
        <v/>
      </c>
    </row>
    <row r="268">
      <c r="C268">
        <f>IFERROR(VLOOKUP(B268,'Subsector Map'!$A:$B,2,0),"")</f>
        <v/>
      </c>
      <c r="K268">
        <f>IFERROR(INDEX(E268:J268,MATCH(YEAR(A268)+1,$E$1:$J$1,0)),"")</f>
        <v/>
      </c>
      <c r="L268">
        <f>IFERROR(D268/K268,"")</f>
        <v/>
      </c>
    </row>
    <row r="269">
      <c r="C269">
        <f>IFERROR(VLOOKUP(B269,'Subsector Map'!$A:$B,2,0),"")</f>
        <v/>
      </c>
      <c r="K269">
        <f>IFERROR(INDEX(E269:J269,MATCH(YEAR(A269)+1,$E$1:$J$1,0)),"")</f>
        <v/>
      </c>
      <c r="L269">
        <f>IFERROR(D269/K269,"")</f>
        <v/>
      </c>
    </row>
    <row r="270">
      <c r="C270">
        <f>IFERROR(VLOOKUP(B270,'Subsector Map'!$A:$B,2,0),"")</f>
        <v/>
      </c>
      <c r="K270">
        <f>IFERROR(INDEX(E270:J270,MATCH(YEAR(A270)+1,$E$1:$J$1,0)),"")</f>
        <v/>
      </c>
      <c r="L270">
        <f>IFERROR(D270/K270,"")</f>
        <v/>
      </c>
    </row>
    <row r="271">
      <c r="C271">
        <f>IFERROR(VLOOKUP(B271,'Subsector Map'!$A:$B,2,0),"")</f>
        <v/>
      </c>
      <c r="K271">
        <f>IFERROR(INDEX(E271:J271,MATCH(YEAR(A271)+1,$E$1:$J$1,0)),"")</f>
        <v/>
      </c>
      <c r="L271">
        <f>IFERROR(D271/K271,"")</f>
        <v/>
      </c>
    </row>
    <row r="272">
      <c r="C272">
        <f>IFERROR(VLOOKUP(B272,'Subsector Map'!$A:$B,2,0),"")</f>
        <v/>
      </c>
      <c r="K272">
        <f>IFERROR(INDEX(E272:J272,MATCH(YEAR(A272)+1,$E$1:$J$1,0)),"")</f>
        <v/>
      </c>
      <c r="L272">
        <f>IFERROR(D272/K272,"")</f>
        <v/>
      </c>
    </row>
    <row r="273">
      <c r="C273">
        <f>IFERROR(VLOOKUP(B273,'Subsector Map'!$A:$B,2,0),"")</f>
        <v/>
      </c>
      <c r="K273">
        <f>IFERROR(INDEX(E273:J273,MATCH(YEAR(A273)+1,$E$1:$J$1,0)),"")</f>
        <v/>
      </c>
      <c r="L273">
        <f>IFERROR(D273/K273,"")</f>
        <v/>
      </c>
    </row>
    <row r="274">
      <c r="C274">
        <f>IFERROR(VLOOKUP(B274,'Subsector Map'!$A:$B,2,0),"")</f>
        <v/>
      </c>
      <c r="K274">
        <f>IFERROR(INDEX(E274:J274,MATCH(YEAR(A274)+1,$E$1:$J$1,0)),"")</f>
        <v/>
      </c>
      <c r="L274">
        <f>IFERROR(D274/K274,"")</f>
        <v/>
      </c>
    </row>
    <row r="275">
      <c r="C275">
        <f>IFERROR(VLOOKUP(B275,'Subsector Map'!$A:$B,2,0),"")</f>
        <v/>
      </c>
      <c r="K275">
        <f>IFERROR(INDEX(E275:J275,MATCH(YEAR(A275)+1,$E$1:$J$1,0)),"")</f>
        <v/>
      </c>
      <c r="L275">
        <f>IFERROR(D275/K275,"")</f>
        <v/>
      </c>
    </row>
    <row r="276">
      <c r="C276">
        <f>IFERROR(VLOOKUP(B276,'Subsector Map'!$A:$B,2,0),"")</f>
        <v/>
      </c>
      <c r="K276">
        <f>IFERROR(INDEX(E276:J276,MATCH(YEAR(A276)+1,$E$1:$J$1,0)),"")</f>
        <v/>
      </c>
      <c r="L276">
        <f>IFERROR(D276/K276,"")</f>
        <v/>
      </c>
    </row>
    <row r="277">
      <c r="C277">
        <f>IFERROR(VLOOKUP(B277,'Subsector Map'!$A:$B,2,0),"")</f>
        <v/>
      </c>
      <c r="K277">
        <f>IFERROR(INDEX(E277:J277,MATCH(YEAR(A277)+1,$E$1:$J$1,0)),"")</f>
        <v/>
      </c>
      <c r="L277">
        <f>IFERROR(D277/K277,"")</f>
        <v/>
      </c>
    </row>
    <row r="278">
      <c r="C278">
        <f>IFERROR(VLOOKUP(B278,'Subsector Map'!$A:$B,2,0),"")</f>
        <v/>
      </c>
      <c r="K278">
        <f>IFERROR(INDEX(E278:J278,MATCH(YEAR(A278)+1,$E$1:$J$1,0)),"")</f>
        <v/>
      </c>
      <c r="L278">
        <f>IFERROR(D278/K278,"")</f>
        <v/>
      </c>
    </row>
    <row r="279">
      <c r="C279">
        <f>IFERROR(VLOOKUP(B279,'Subsector Map'!$A:$B,2,0),"")</f>
        <v/>
      </c>
      <c r="K279">
        <f>IFERROR(INDEX(E279:J279,MATCH(YEAR(A279)+1,$E$1:$J$1,0)),"")</f>
        <v/>
      </c>
      <c r="L279">
        <f>IFERROR(D279/K279,"")</f>
        <v/>
      </c>
    </row>
    <row r="280">
      <c r="C280">
        <f>IFERROR(VLOOKUP(B280,'Subsector Map'!$A:$B,2,0),"")</f>
        <v/>
      </c>
      <c r="K280">
        <f>IFERROR(INDEX(E280:J280,MATCH(YEAR(A280)+1,$E$1:$J$1,0)),"")</f>
        <v/>
      </c>
      <c r="L280">
        <f>IFERROR(D280/K280,"")</f>
        <v/>
      </c>
    </row>
    <row r="281">
      <c r="C281">
        <f>IFERROR(VLOOKUP(B281,'Subsector Map'!$A:$B,2,0),"")</f>
        <v/>
      </c>
      <c r="K281">
        <f>IFERROR(INDEX(E281:J281,MATCH(YEAR(A281)+1,$E$1:$J$1,0)),"")</f>
        <v/>
      </c>
      <c r="L281">
        <f>IFERROR(D281/K281,"")</f>
        <v/>
      </c>
    </row>
    <row r="282">
      <c r="C282">
        <f>IFERROR(VLOOKUP(B282,'Subsector Map'!$A:$B,2,0),"")</f>
        <v/>
      </c>
      <c r="K282">
        <f>IFERROR(INDEX(E282:J282,MATCH(YEAR(A282)+1,$E$1:$J$1,0)),"")</f>
        <v/>
      </c>
      <c r="L282">
        <f>IFERROR(D282/K282,"")</f>
        <v/>
      </c>
    </row>
    <row r="283">
      <c r="C283">
        <f>IFERROR(VLOOKUP(B283,'Subsector Map'!$A:$B,2,0),"")</f>
        <v/>
      </c>
      <c r="K283">
        <f>IFERROR(INDEX(E283:J283,MATCH(YEAR(A283)+1,$E$1:$J$1,0)),"")</f>
        <v/>
      </c>
      <c r="L283">
        <f>IFERROR(D283/K283,"")</f>
        <v/>
      </c>
    </row>
    <row r="284">
      <c r="C284">
        <f>IFERROR(VLOOKUP(B284,'Subsector Map'!$A:$B,2,0),"")</f>
        <v/>
      </c>
      <c r="K284">
        <f>IFERROR(INDEX(E284:J284,MATCH(YEAR(A284)+1,$E$1:$J$1,0)),"")</f>
        <v/>
      </c>
      <c r="L284">
        <f>IFERROR(D284/K284,"")</f>
        <v/>
      </c>
    </row>
    <row r="285">
      <c r="C285">
        <f>IFERROR(VLOOKUP(B285,'Subsector Map'!$A:$B,2,0),"")</f>
        <v/>
      </c>
      <c r="K285">
        <f>IFERROR(INDEX(E285:J285,MATCH(YEAR(A285)+1,$E$1:$J$1,0)),"")</f>
        <v/>
      </c>
      <c r="L285">
        <f>IFERROR(D285/K285,"")</f>
        <v/>
      </c>
    </row>
    <row r="286">
      <c r="C286">
        <f>IFERROR(VLOOKUP(B286,'Subsector Map'!$A:$B,2,0),"")</f>
        <v/>
      </c>
      <c r="K286">
        <f>IFERROR(INDEX(E286:J286,MATCH(YEAR(A286)+1,$E$1:$J$1,0)),"")</f>
        <v/>
      </c>
      <c r="L286">
        <f>IFERROR(D286/K286,"")</f>
        <v/>
      </c>
    </row>
    <row r="287">
      <c r="C287">
        <f>IFERROR(VLOOKUP(B287,'Subsector Map'!$A:$B,2,0),"")</f>
        <v/>
      </c>
      <c r="K287">
        <f>IFERROR(INDEX(E287:J287,MATCH(YEAR(A287)+1,$E$1:$J$1,0)),"")</f>
        <v/>
      </c>
      <c r="L287">
        <f>IFERROR(D287/K287,"")</f>
        <v/>
      </c>
    </row>
    <row r="288">
      <c r="C288">
        <f>IFERROR(VLOOKUP(B288,'Subsector Map'!$A:$B,2,0),"")</f>
        <v/>
      </c>
      <c r="K288">
        <f>IFERROR(INDEX(E288:J288,MATCH(YEAR(A288)+1,$E$1:$J$1,0)),"")</f>
        <v/>
      </c>
      <c r="L288">
        <f>IFERROR(D288/K288,"")</f>
        <v/>
      </c>
    </row>
    <row r="289">
      <c r="C289">
        <f>IFERROR(VLOOKUP(B289,'Subsector Map'!$A:$B,2,0),"")</f>
        <v/>
      </c>
      <c r="K289">
        <f>IFERROR(INDEX(E289:J289,MATCH(YEAR(A289)+1,$E$1:$J$1,0)),"")</f>
        <v/>
      </c>
      <c r="L289">
        <f>IFERROR(D289/K289,"")</f>
        <v/>
      </c>
    </row>
    <row r="290">
      <c r="C290">
        <f>IFERROR(VLOOKUP(B290,'Subsector Map'!$A:$B,2,0),"")</f>
        <v/>
      </c>
      <c r="K290">
        <f>IFERROR(INDEX(E290:J290,MATCH(YEAR(A290)+1,$E$1:$J$1,0)),"")</f>
        <v/>
      </c>
      <c r="L290">
        <f>IFERROR(D290/K290,"")</f>
        <v/>
      </c>
    </row>
    <row r="291">
      <c r="C291">
        <f>IFERROR(VLOOKUP(B291,'Subsector Map'!$A:$B,2,0),"")</f>
        <v/>
      </c>
      <c r="K291">
        <f>IFERROR(INDEX(E291:J291,MATCH(YEAR(A291)+1,$E$1:$J$1,0)),"")</f>
        <v/>
      </c>
      <c r="L291">
        <f>IFERROR(D291/K291,"")</f>
        <v/>
      </c>
    </row>
    <row r="292">
      <c r="C292">
        <f>IFERROR(VLOOKUP(B292,'Subsector Map'!$A:$B,2,0),"")</f>
        <v/>
      </c>
      <c r="K292">
        <f>IFERROR(INDEX(E292:J292,MATCH(YEAR(A292)+1,$E$1:$J$1,0)),"")</f>
        <v/>
      </c>
      <c r="L292">
        <f>IFERROR(D292/K292,"")</f>
        <v/>
      </c>
    </row>
    <row r="293">
      <c r="C293">
        <f>IFERROR(VLOOKUP(B293,'Subsector Map'!$A:$B,2,0),"")</f>
        <v/>
      </c>
      <c r="K293">
        <f>IFERROR(INDEX(E293:J293,MATCH(YEAR(A293)+1,$E$1:$J$1,0)),"")</f>
        <v/>
      </c>
      <c r="L293">
        <f>IFERROR(D293/K293,"")</f>
        <v/>
      </c>
    </row>
    <row r="294">
      <c r="C294">
        <f>IFERROR(VLOOKUP(B294,'Subsector Map'!$A:$B,2,0),"")</f>
        <v/>
      </c>
      <c r="K294">
        <f>IFERROR(INDEX(E294:J294,MATCH(YEAR(A294)+1,$E$1:$J$1,0)),"")</f>
        <v/>
      </c>
      <c r="L294">
        <f>IFERROR(D294/K294,"")</f>
        <v/>
      </c>
    </row>
    <row r="295">
      <c r="C295">
        <f>IFERROR(VLOOKUP(B295,'Subsector Map'!$A:$B,2,0),"")</f>
        <v/>
      </c>
      <c r="K295">
        <f>IFERROR(INDEX(E295:J295,MATCH(YEAR(A295)+1,$E$1:$J$1,0)),"")</f>
        <v/>
      </c>
      <c r="L295">
        <f>IFERROR(D295/K295,"")</f>
        <v/>
      </c>
    </row>
    <row r="296">
      <c r="C296">
        <f>IFERROR(VLOOKUP(B296,'Subsector Map'!$A:$B,2,0),"")</f>
        <v/>
      </c>
      <c r="K296">
        <f>IFERROR(INDEX(E296:J296,MATCH(YEAR(A296)+1,$E$1:$J$1,0)),"")</f>
        <v/>
      </c>
      <c r="L296">
        <f>IFERROR(D296/K296,"")</f>
        <v/>
      </c>
    </row>
    <row r="297">
      <c r="C297">
        <f>IFERROR(VLOOKUP(B297,'Subsector Map'!$A:$B,2,0),"")</f>
        <v/>
      </c>
      <c r="K297">
        <f>IFERROR(INDEX(E297:J297,MATCH(YEAR(A297)+1,$E$1:$J$1,0)),"")</f>
        <v/>
      </c>
      <c r="L297">
        <f>IFERROR(D297/K297,"")</f>
        <v/>
      </c>
    </row>
    <row r="298">
      <c r="C298">
        <f>IFERROR(VLOOKUP(B298,'Subsector Map'!$A:$B,2,0),"")</f>
        <v/>
      </c>
      <c r="K298">
        <f>IFERROR(INDEX(E298:J298,MATCH(YEAR(A298)+1,$E$1:$J$1,0)),"")</f>
        <v/>
      </c>
      <c r="L298">
        <f>IFERROR(D298/K298,"")</f>
        <v/>
      </c>
    </row>
    <row r="299">
      <c r="C299">
        <f>IFERROR(VLOOKUP(B299,'Subsector Map'!$A:$B,2,0),"")</f>
        <v/>
      </c>
      <c r="K299">
        <f>IFERROR(INDEX(E299:J299,MATCH(YEAR(A299)+1,$E$1:$J$1,0)),"")</f>
        <v/>
      </c>
      <c r="L299">
        <f>IFERROR(D299/K299,"")</f>
        <v/>
      </c>
    </row>
    <row r="300">
      <c r="C300">
        <f>IFERROR(VLOOKUP(B300,'Subsector Map'!$A:$B,2,0),"")</f>
        <v/>
      </c>
      <c r="K300">
        <f>IFERROR(INDEX(E300:J300,MATCH(YEAR(A300)+1,$E$1:$J$1,0)),"")</f>
        <v/>
      </c>
      <c r="L300">
        <f>IFERROR(D300/K300,"")</f>
        <v/>
      </c>
    </row>
    <row r="301">
      <c r="C301">
        <f>IFERROR(VLOOKUP(B301,'Subsector Map'!$A:$B,2,0),"")</f>
        <v/>
      </c>
      <c r="K301">
        <f>IFERROR(INDEX(E301:J301,MATCH(YEAR(A301)+1,$E$1:$J$1,0)),"")</f>
        <v/>
      </c>
      <c r="L301">
        <f>IFERROR(D301/K301,"")</f>
        <v/>
      </c>
    </row>
    <row r="302">
      <c r="C302">
        <f>IFERROR(VLOOKUP(B302,'Subsector Map'!$A:$B,2,0),"")</f>
        <v/>
      </c>
      <c r="K302">
        <f>IFERROR(INDEX(E302:J302,MATCH(YEAR(A302)+1,$E$1:$J$1,0)),"")</f>
        <v/>
      </c>
      <c r="L302">
        <f>IFERROR(D302/K302,"")</f>
        <v/>
      </c>
    </row>
    <row r="303">
      <c r="C303">
        <f>IFERROR(VLOOKUP(B303,'Subsector Map'!$A:$B,2,0),"")</f>
        <v/>
      </c>
      <c r="K303">
        <f>IFERROR(INDEX(E303:J303,MATCH(YEAR(A303)+1,$E$1:$J$1,0)),"")</f>
        <v/>
      </c>
      <c r="L303">
        <f>IFERROR(D303/K303,"")</f>
        <v/>
      </c>
    </row>
    <row r="304">
      <c r="C304">
        <f>IFERROR(VLOOKUP(B304,'Subsector Map'!$A:$B,2,0),"")</f>
        <v/>
      </c>
      <c r="K304">
        <f>IFERROR(INDEX(E304:J304,MATCH(YEAR(A304)+1,$E$1:$J$1,0)),"")</f>
        <v/>
      </c>
      <c r="L304">
        <f>IFERROR(D304/K304,"")</f>
        <v/>
      </c>
    </row>
    <row r="305">
      <c r="C305">
        <f>IFERROR(VLOOKUP(B305,'Subsector Map'!$A:$B,2,0),"")</f>
        <v/>
      </c>
      <c r="K305">
        <f>IFERROR(INDEX(E305:J305,MATCH(YEAR(A305)+1,$E$1:$J$1,0)),"")</f>
        <v/>
      </c>
      <c r="L305">
        <f>IFERROR(D305/K305,"")</f>
        <v/>
      </c>
    </row>
    <row r="306">
      <c r="C306">
        <f>IFERROR(VLOOKUP(B306,'Subsector Map'!$A:$B,2,0),"")</f>
        <v/>
      </c>
      <c r="K306">
        <f>IFERROR(INDEX(E306:J306,MATCH(YEAR(A306)+1,$E$1:$J$1,0)),"")</f>
        <v/>
      </c>
      <c r="L306">
        <f>IFERROR(D306/K306,"")</f>
        <v/>
      </c>
    </row>
    <row r="307">
      <c r="C307">
        <f>IFERROR(VLOOKUP(B307,'Subsector Map'!$A:$B,2,0),"")</f>
        <v/>
      </c>
      <c r="K307">
        <f>IFERROR(INDEX(E307:J307,MATCH(YEAR(A307)+1,$E$1:$J$1,0)),"")</f>
        <v/>
      </c>
      <c r="L307">
        <f>IFERROR(D307/K307,"")</f>
        <v/>
      </c>
    </row>
    <row r="308">
      <c r="C308">
        <f>IFERROR(VLOOKUP(B308,'Subsector Map'!$A:$B,2,0),"")</f>
        <v/>
      </c>
      <c r="K308">
        <f>IFERROR(INDEX(E308:J308,MATCH(YEAR(A308)+1,$E$1:$J$1,0)),"")</f>
        <v/>
      </c>
      <c r="L308">
        <f>IFERROR(D308/K308,"")</f>
        <v/>
      </c>
    </row>
    <row r="309">
      <c r="C309">
        <f>IFERROR(VLOOKUP(B309,'Subsector Map'!$A:$B,2,0),"")</f>
        <v/>
      </c>
      <c r="K309">
        <f>IFERROR(INDEX(E309:J309,MATCH(YEAR(A309)+1,$E$1:$J$1,0)),"")</f>
        <v/>
      </c>
      <c r="L309">
        <f>IFERROR(D309/K309,"")</f>
        <v/>
      </c>
    </row>
    <row r="310">
      <c r="C310">
        <f>IFERROR(VLOOKUP(B310,'Subsector Map'!$A:$B,2,0),"")</f>
        <v/>
      </c>
      <c r="K310">
        <f>IFERROR(INDEX(E310:J310,MATCH(YEAR(A310)+1,$E$1:$J$1,0)),"")</f>
        <v/>
      </c>
      <c r="L310">
        <f>IFERROR(D310/K310,"")</f>
        <v/>
      </c>
    </row>
    <row r="311">
      <c r="C311">
        <f>IFERROR(VLOOKUP(B311,'Subsector Map'!$A:$B,2,0),"")</f>
        <v/>
      </c>
      <c r="K311">
        <f>IFERROR(INDEX(E311:J311,MATCH(YEAR(A311)+1,$E$1:$J$1,0)),"")</f>
        <v/>
      </c>
      <c r="L311">
        <f>IFERROR(D311/K311,"")</f>
        <v/>
      </c>
    </row>
    <row r="312">
      <c r="C312">
        <f>IFERROR(VLOOKUP(B312,'Subsector Map'!$A:$B,2,0),"")</f>
        <v/>
      </c>
      <c r="K312">
        <f>IFERROR(INDEX(E312:J312,MATCH(YEAR(A312)+1,$E$1:$J$1,0)),"")</f>
        <v/>
      </c>
      <c r="L312">
        <f>IFERROR(D312/K312,"")</f>
        <v/>
      </c>
    </row>
    <row r="313">
      <c r="C313">
        <f>IFERROR(VLOOKUP(B313,'Subsector Map'!$A:$B,2,0),"")</f>
        <v/>
      </c>
      <c r="K313">
        <f>IFERROR(INDEX(E313:J313,MATCH(YEAR(A313)+1,$E$1:$J$1,0)),"")</f>
        <v/>
      </c>
      <c r="L313">
        <f>IFERROR(D313/K313,"")</f>
        <v/>
      </c>
    </row>
    <row r="314">
      <c r="C314">
        <f>IFERROR(VLOOKUP(B314,'Subsector Map'!$A:$B,2,0),"")</f>
        <v/>
      </c>
      <c r="K314">
        <f>IFERROR(INDEX(E314:J314,MATCH(YEAR(A314)+1,$E$1:$J$1,0)),"")</f>
        <v/>
      </c>
      <c r="L314">
        <f>IFERROR(D314/K314,"")</f>
        <v/>
      </c>
    </row>
    <row r="315">
      <c r="C315">
        <f>IFERROR(VLOOKUP(B315,'Subsector Map'!$A:$B,2,0),"")</f>
        <v/>
      </c>
      <c r="K315">
        <f>IFERROR(INDEX(E315:J315,MATCH(YEAR(A315)+1,$E$1:$J$1,0)),"")</f>
        <v/>
      </c>
      <c r="L315">
        <f>IFERROR(D315/K315,"")</f>
        <v/>
      </c>
    </row>
    <row r="316">
      <c r="C316">
        <f>IFERROR(VLOOKUP(B316,'Subsector Map'!$A:$B,2,0),"")</f>
        <v/>
      </c>
      <c r="K316">
        <f>IFERROR(INDEX(E316:J316,MATCH(YEAR(A316)+1,$E$1:$J$1,0)),"")</f>
        <v/>
      </c>
      <c r="L316">
        <f>IFERROR(D316/K316,"")</f>
        <v/>
      </c>
    </row>
    <row r="317">
      <c r="C317">
        <f>IFERROR(VLOOKUP(B317,'Subsector Map'!$A:$B,2,0),"")</f>
        <v/>
      </c>
      <c r="K317">
        <f>IFERROR(INDEX(E317:J317,MATCH(YEAR(A317)+1,$E$1:$J$1,0)),"")</f>
        <v/>
      </c>
      <c r="L317">
        <f>IFERROR(D317/K317,"")</f>
        <v/>
      </c>
    </row>
    <row r="318">
      <c r="C318">
        <f>IFERROR(VLOOKUP(B318,'Subsector Map'!$A:$B,2,0),"")</f>
        <v/>
      </c>
      <c r="K318">
        <f>IFERROR(INDEX(E318:J318,MATCH(YEAR(A318)+1,$E$1:$J$1,0)),"")</f>
        <v/>
      </c>
      <c r="L318">
        <f>IFERROR(D318/K318,"")</f>
        <v/>
      </c>
    </row>
    <row r="319">
      <c r="C319">
        <f>IFERROR(VLOOKUP(B319,'Subsector Map'!$A:$B,2,0),"")</f>
        <v/>
      </c>
      <c r="K319">
        <f>IFERROR(INDEX(E319:J319,MATCH(YEAR(A319)+1,$E$1:$J$1,0)),"")</f>
        <v/>
      </c>
      <c r="L319">
        <f>IFERROR(D319/K319,"")</f>
        <v/>
      </c>
    </row>
    <row r="320">
      <c r="C320">
        <f>IFERROR(VLOOKUP(B320,'Subsector Map'!$A:$B,2,0),"")</f>
        <v/>
      </c>
      <c r="K320">
        <f>IFERROR(INDEX(E320:J320,MATCH(YEAR(A320)+1,$E$1:$J$1,0)),"")</f>
        <v/>
      </c>
      <c r="L320">
        <f>IFERROR(D320/K320,"")</f>
        <v/>
      </c>
    </row>
    <row r="321">
      <c r="C321">
        <f>IFERROR(VLOOKUP(B321,'Subsector Map'!$A:$B,2,0),"")</f>
        <v/>
      </c>
      <c r="K321">
        <f>IFERROR(INDEX(E321:J321,MATCH(YEAR(A321)+1,$E$1:$J$1,0)),"")</f>
        <v/>
      </c>
      <c r="L321">
        <f>IFERROR(D321/K321,"")</f>
        <v/>
      </c>
    </row>
    <row r="322">
      <c r="C322">
        <f>IFERROR(VLOOKUP(B322,'Subsector Map'!$A:$B,2,0),"")</f>
        <v/>
      </c>
      <c r="K322">
        <f>IFERROR(INDEX(E322:J322,MATCH(YEAR(A322)+1,$E$1:$J$1,0)),"")</f>
        <v/>
      </c>
      <c r="L322">
        <f>IFERROR(D322/K322,"")</f>
        <v/>
      </c>
    </row>
    <row r="323">
      <c r="C323">
        <f>IFERROR(VLOOKUP(B323,'Subsector Map'!$A:$B,2,0),"")</f>
        <v/>
      </c>
      <c r="K323">
        <f>IFERROR(INDEX(E323:J323,MATCH(YEAR(A323)+1,$E$1:$J$1,0)),"")</f>
        <v/>
      </c>
      <c r="L323">
        <f>IFERROR(D323/K323,"")</f>
        <v/>
      </c>
    </row>
    <row r="324">
      <c r="C324">
        <f>IFERROR(VLOOKUP(B324,'Subsector Map'!$A:$B,2,0),"")</f>
        <v/>
      </c>
      <c r="K324">
        <f>IFERROR(INDEX(E324:J324,MATCH(YEAR(A324)+1,$E$1:$J$1,0)),"")</f>
        <v/>
      </c>
      <c r="L324">
        <f>IFERROR(D324/K324,"")</f>
        <v/>
      </c>
    </row>
    <row r="325">
      <c r="C325">
        <f>IFERROR(VLOOKUP(B325,'Subsector Map'!$A:$B,2,0),"")</f>
        <v/>
      </c>
      <c r="K325">
        <f>IFERROR(INDEX(E325:J325,MATCH(YEAR(A325)+1,$E$1:$J$1,0)),"")</f>
        <v/>
      </c>
      <c r="L325">
        <f>IFERROR(D325/K325,"")</f>
        <v/>
      </c>
    </row>
    <row r="326">
      <c r="C326">
        <f>IFERROR(VLOOKUP(B326,'Subsector Map'!$A:$B,2,0),"")</f>
        <v/>
      </c>
      <c r="K326">
        <f>IFERROR(INDEX(E326:J326,MATCH(YEAR(A326)+1,$E$1:$J$1,0)),"")</f>
        <v/>
      </c>
      <c r="L326">
        <f>IFERROR(D326/K326,"")</f>
        <v/>
      </c>
    </row>
    <row r="327">
      <c r="C327">
        <f>IFERROR(VLOOKUP(B327,'Subsector Map'!$A:$B,2,0),"")</f>
        <v/>
      </c>
      <c r="K327">
        <f>IFERROR(INDEX(E327:J327,MATCH(YEAR(A327)+1,$E$1:$J$1,0)),"")</f>
        <v/>
      </c>
      <c r="L327">
        <f>IFERROR(D327/K327,"")</f>
        <v/>
      </c>
    </row>
    <row r="328">
      <c r="C328">
        <f>IFERROR(VLOOKUP(B328,'Subsector Map'!$A:$B,2,0),"")</f>
        <v/>
      </c>
      <c r="K328">
        <f>IFERROR(INDEX(E328:J328,MATCH(YEAR(A328)+1,$E$1:$J$1,0)),"")</f>
        <v/>
      </c>
      <c r="L328">
        <f>IFERROR(D328/K328,"")</f>
        <v/>
      </c>
    </row>
    <row r="329">
      <c r="C329">
        <f>IFERROR(VLOOKUP(B329,'Subsector Map'!$A:$B,2,0),"")</f>
        <v/>
      </c>
      <c r="K329">
        <f>IFERROR(INDEX(E329:J329,MATCH(YEAR(A329)+1,$E$1:$J$1,0)),"")</f>
        <v/>
      </c>
      <c r="L329">
        <f>IFERROR(D329/K329,"")</f>
        <v/>
      </c>
    </row>
    <row r="330">
      <c r="C330">
        <f>IFERROR(VLOOKUP(B330,'Subsector Map'!$A:$B,2,0),"")</f>
        <v/>
      </c>
      <c r="K330">
        <f>IFERROR(INDEX(E330:J330,MATCH(YEAR(A330)+1,$E$1:$J$1,0)),"")</f>
        <v/>
      </c>
      <c r="L330">
        <f>IFERROR(D330/K330,"")</f>
        <v/>
      </c>
    </row>
    <row r="331">
      <c r="C331">
        <f>IFERROR(VLOOKUP(B331,'Subsector Map'!$A:$B,2,0),"")</f>
        <v/>
      </c>
      <c r="K331">
        <f>IFERROR(INDEX(E331:J331,MATCH(YEAR(A331)+1,$E$1:$J$1,0)),"")</f>
        <v/>
      </c>
      <c r="L331">
        <f>IFERROR(D331/K331,"")</f>
        <v/>
      </c>
    </row>
    <row r="332">
      <c r="C332">
        <f>IFERROR(VLOOKUP(B332,'Subsector Map'!$A:$B,2,0),"")</f>
        <v/>
      </c>
      <c r="K332">
        <f>IFERROR(INDEX(E332:J332,MATCH(YEAR(A332)+1,$E$1:$J$1,0)),"")</f>
        <v/>
      </c>
      <c r="L332">
        <f>IFERROR(D332/K332,"")</f>
        <v/>
      </c>
    </row>
    <row r="333">
      <c r="C333">
        <f>IFERROR(VLOOKUP(B333,'Subsector Map'!$A:$B,2,0),"")</f>
        <v/>
      </c>
      <c r="K333">
        <f>IFERROR(INDEX(E333:J333,MATCH(YEAR(A333)+1,$E$1:$J$1,0)),"")</f>
        <v/>
      </c>
      <c r="L333">
        <f>IFERROR(D333/K333,"")</f>
        <v/>
      </c>
    </row>
    <row r="334">
      <c r="C334">
        <f>IFERROR(VLOOKUP(B334,'Subsector Map'!$A:$B,2,0),"")</f>
        <v/>
      </c>
      <c r="K334">
        <f>IFERROR(INDEX(E334:J334,MATCH(YEAR(A334)+1,$E$1:$J$1,0)),"")</f>
        <v/>
      </c>
      <c r="L334">
        <f>IFERROR(D334/K334,"")</f>
        <v/>
      </c>
    </row>
    <row r="335">
      <c r="C335">
        <f>IFERROR(VLOOKUP(B335,'Subsector Map'!$A:$B,2,0),"")</f>
        <v/>
      </c>
      <c r="K335">
        <f>IFERROR(INDEX(E335:J335,MATCH(YEAR(A335)+1,$E$1:$J$1,0)),"")</f>
        <v/>
      </c>
      <c r="L335">
        <f>IFERROR(D335/K335,"")</f>
        <v/>
      </c>
    </row>
    <row r="336">
      <c r="C336">
        <f>IFERROR(VLOOKUP(B336,'Subsector Map'!$A:$B,2,0),"")</f>
        <v/>
      </c>
      <c r="K336">
        <f>IFERROR(INDEX(E336:J336,MATCH(YEAR(A336)+1,$E$1:$J$1,0)),"")</f>
        <v/>
      </c>
      <c r="L336">
        <f>IFERROR(D336/K336,"")</f>
        <v/>
      </c>
    </row>
    <row r="337">
      <c r="C337">
        <f>IFERROR(VLOOKUP(B337,'Subsector Map'!$A:$B,2,0),"")</f>
        <v/>
      </c>
      <c r="K337">
        <f>IFERROR(INDEX(E337:J337,MATCH(YEAR(A337)+1,$E$1:$J$1,0)),"")</f>
        <v/>
      </c>
      <c r="L337">
        <f>IFERROR(D337/K337,"")</f>
        <v/>
      </c>
    </row>
    <row r="338">
      <c r="C338">
        <f>IFERROR(VLOOKUP(B338,'Subsector Map'!$A:$B,2,0),"")</f>
        <v/>
      </c>
      <c r="K338">
        <f>IFERROR(INDEX(E338:J338,MATCH(YEAR(A338)+1,$E$1:$J$1,0)),"")</f>
        <v/>
      </c>
      <c r="L338">
        <f>IFERROR(D338/K338,"")</f>
        <v/>
      </c>
    </row>
    <row r="339">
      <c r="C339">
        <f>IFERROR(VLOOKUP(B339,'Subsector Map'!$A:$B,2,0),"")</f>
        <v/>
      </c>
      <c r="K339">
        <f>IFERROR(INDEX(E339:J339,MATCH(YEAR(A339)+1,$E$1:$J$1,0)),"")</f>
        <v/>
      </c>
      <c r="L339">
        <f>IFERROR(D339/K339,"")</f>
        <v/>
      </c>
    </row>
    <row r="340">
      <c r="C340">
        <f>IFERROR(VLOOKUP(B340,'Subsector Map'!$A:$B,2,0),"")</f>
        <v/>
      </c>
      <c r="K340">
        <f>IFERROR(INDEX(E340:J340,MATCH(YEAR(A340)+1,$E$1:$J$1,0)),"")</f>
        <v/>
      </c>
      <c r="L340">
        <f>IFERROR(D340/K340,"")</f>
        <v/>
      </c>
    </row>
    <row r="341">
      <c r="C341">
        <f>IFERROR(VLOOKUP(B341,'Subsector Map'!$A:$B,2,0),"")</f>
        <v/>
      </c>
      <c r="K341">
        <f>IFERROR(INDEX(E341:J341,MATCH(YEAR(A341)+1,$E$1:$J$1,0)),"")</f>
        <v/>
      </c>
      <c r="L341">
        <f>IFERROR(D341/K341,"")</f>
        <v/>
      </c>
    </row>
    <row r="342">
      <c r="C342">
        <f>IFERROR(VLOOKUP(B342,'Subsector Map'!$A:$B,2,0),"")</f>
        <v/>
      </c>
      <c r="K342">
        <f>IFERROR(INDEX(E342:J342,MATCH(YEAR(A342)+1,$E$1:$J$1,0)),"")</f>
        <v/>
      </c>
      <c r="L342">
        <f>IFERROR(D342/K342,"")</f>
        <v/>
      </c>
    </row>
    <row r="343">
      <c r="C343">
        <f>IFERROR(VLOOKUP(B343,'Subsector Map'!$A:$B,2,0),"")</f>
        <v/>
      </c>
      <c r="K343">
        <f>IFERROR(INDEX(E343:J343,MATCH(YEAR(A343)+1,$E$1:$J$1,0)),"")</f>
        <v/>
      </c>
      <c r="L343">
        <f>IFERROR(D343/K343,"")</f>
        <v/>
      </c>
    </row>
    <row r="344">
      <c r="C344">
        <f>IFERROR(VLOOKUP(B344,'Subsector Map'!$A:$B,2,0),"")</f>
        <v/>
      </c>
      <c r="K344">
        <f>IFERROR(INDEX(E344:J344,MATCH(YEAR(A344)+1,$E$1:$J$1,0)),"")</f>
        <v/>
      </c>
      <c r="L344">
        <f>IFERROR(D344/K344,"")</f>
        <v/>
      </c>
    </row>
    <row r="345">
      <c r="C345">
        <f>IFERROR(VLOOKUP(B345,'Subsector Map'!$A:$B,2,0),"")</f>
        <v/>
      </c>
      <c r="K345">
        <f>IFERROR(INDEX(E345:J345,MATCH(YEAR(A345)+1,$E$1:$J$1,0)),"")</f>
        <v/>
      </c>
      <c r="L345">
        <f>IFERROR(D345/K345,"")</f>
        <v/>
      </c>
    </row>
    <row r="346">
      <c r="C346">
        <f>IFERROR(VLOOKUP(B346,'Subsector Map'!$A:$B,2,0),"")</f>
        <v/>
      </c>
      <c r="K346">
        <f>IFERROR(INDEX(E346:J346,MATCH(YEAR(A346)+1,$E$1:$J$1,0)),"")</f>
        <v/>
      </c>
      <c r="L346">
        <f>IFERROR(D346/K346,"")</f>
        <v/>
      </c>
    </row>
    <row r="347">
      <c r="C347">
        <f>IFERROR(VLOOKUP(B347,'Subsector Map'!$A:$B,2,0),"")</f>
        <v/>
      </c>
      <c r="K347">
        <f>IFERROR(INDEX(E347:J347,MATCH(YEAR(A347)+1,$E$1:$J$1,0)),"")</f>
        <v/>
      </c>
      <c r="L347">
        <f>IFERROR(D347/K347,"")</f>
        <v/>
      </c>
    </row>
    <row r="348">
      <c r="C348">
        <f>IFERROR(VLOOKUP(B348,'Subsector Map'!$A:$B,2,0),"")</f>
        <v/>
      </c>
      <c r="K348">
        <f>IFERROR(INDEX(E348:J348,MATCH(YEAR(A348)+1,$E$1:$J$1,0)),"")</f>
        <v/>
      </c>
      <c r="L348">
        <f>IFERROR(D348/K348,"")</f>
        <v/>
      </c>
    </row>
    <row r="349">
      <c r="C349">
        <f>IFERROR(VLOOKUP(B349,'Subsector Map'!$A:$B,2,0),"")</f>
        <v/>
      </c>
      <c r="K349">
        <f>IFERROR(INDEX(E349:J349,MATCH(YEAR(A349)+1,$E$1:$J$1,0)),"")</f>
        <v/>
      </c>
      <c r="L349">
        <f>IFERROR(D349/K349,"")</f>
        <v/>
      </c>
    </row>
    <row r="350">
      <c r="C350">
        <f>IFERROR(VLOOKUP(B350,'Subsector Map'!$A:$B,2,0),"")</f>
        <v/>
      </c>
      <c r="K350">
        <f>IFERROR(INDEX(E350:J350,MATCH(YEAR(A350)+1,$E$1:$J$1,0)),"")</f>
        <v/>
      </c>
      <c r="L350">
        <f>IFERROR(D350/K350,"")</f>
        <v/>
      </c>
    </row>
    <row r="351">
      <c r="C351">
        <f>IFERROR(VLOOKUP(B351,'Subsector Map'!$A:$B,2,0),"")</f>
        <v/>
      </c>
      <c r="K351">
        <f>IFERROR(INDEX(E351:J351,MATCH(YEAR(A351)+1,$E$1:$J$1,0)),"")</f>
        <v/>
      </c>
      <c r="L351">
        <f>IFERROR(D351/K351,"")</f>
        <v/>
      </c>
    </row>
    <row r="352">
      <c r="C352">
        <f>IFERROR(VLOOKUP(B352,'Subsector Map'!$A:$B,2,0),"")</f>
        <v/>
      </c>
      <c r="K352">
        <f>IFERROR(INDEX(E352:J352,MATCH(YEAR(A352)+1,$E$1:$J$1,0)),"")</f>
        <v/>
      </c>
      <c r="L352">
        <f>IFERROR(D352/K352,"")</f>
        <v/>
      </c>
    </row>
    <row r="353">
      <c r="C353">
        <f>IFERROR(VLOOKUP(B353,'Subsector Map'!$A:$B,2,0),"")</f>
        <v/>
      </c>
      <c r="K353">
        <f>IFERROR(INDEX(E353:J353,MATCH(YEAR(A353)+1,$E$1:$J$1,0)),"")</f>
        <v/>
      </c>
      <c r="L353">
        <f>IFERROR(D353/K353,"")</f>
        <v/>
      </c>
    </row>
    <row r="354">
      <c r="C354">
        <f>IFERROR(VLOOKUP(B354,'Subsector Map'!$A:$B,2,0),"")</f>
        <v/>
      </c>
      <c r="K354">
        <f>IFERROR(INDEX(E354:J354,MATCH(YEAR(A354)+1,$E$1:$J$1,0)),"")</f>
        <v/>
      </c>
      <c r="L354">
        <f>IFERROR(D354/K354,"")</f>
        <v/>
      </c>
    </row>
    <row r="355">
      <c r="C355">
        <f>IFERROR(VLOOKUP(B355,'Subsector Map'!$A:$B,2,0),"")</f>
        <v/>
      </c>
      <c r="K355">
        <f>IFERROR(INDEX(E355:J355,MATCH(YEAR(A355)+1,$E$1:$J$1,0)),"")</f>
        <v/>
      </c>
      <c r="L355">
        <f>IFERROR(D355/K355,"")</f>
        <v/>
      </c>
    </row>
    <row r="356">
      <c r="C356">
        <f>IFERROR(VLOOKUP(B356,'Subsector Map'!$A:$B,2,0),"")</f>
        <v/>
      </c>
      <c r="K356">
        <f>IFERROR(INDEX(E356:J356,MATCH(YEAR(A356)+1,$E$1:$J$1,0)),"")</f>
        <v/>
      </c>
      <c r="L356">
        <f>IFERROR(D356/K356,"")</f>
        <v/>
      </c>
    </row>
    <row r="357">
      <c r="C357">
        <f>IFERROR(VLOOKUP(B357,'Subsector Map'!$A:$B,2,0),"")</f>
        <v/>
      </c>
      <c r="K357">
        <f>IFERROR(INDEX(E357:J357,MATCH(YEAR(A357)+1,$E$1:$J$1,0)),"")</f>
        <v/>
      </c>
      <c r="L357">
        <f>IFERROR(D357/K357,"")</f>
        <v/>
      </c>
    </row>
    <row r="358">
      <c r="C358">
        <f>IFERROR(VLOOKUP(B358,'Subsector Map'!$A:$B,2,0),"")</f>
        <v/>
      </c>
      <c r="K358">
        <f>IFERROR(INDEX(E358:J358,MATCH(YEAR(A358)+1,$E$1:$J$1,0)),"")</f>
        <v/>
      </c>
      <c r="L358">
        <f>IFERROR(D358/K358,"")</f>
        <v/>
      </c>
    </row>
    <row r="359">
      <c r="C359">
        <f>IFERROR(VLOOKUP(B359,'Subsector Map'!$A:$B,2,0),"")</f>
        <v/>
      </c>
      <c r="K359">
        <f>IFERROR(INDEX(E359:J359,MATCH(YEAR(A359)+1,$E$1:$J$1,0)),"")</f>
        <v/>
      </c>
      <c r="L359">
        <f>IFERROR(D359/K359,"")</f>
        <v/>
      </c>
    </row>
    <row r="360">
      <c r="C360">
        <f>IFERROR(VLOOKUP(B360,'Subsector Map'!$A:$B,2,0),"")</f>
        <v/>
      </c>
      <c r="K360">
        <f>IFERROR(INDEX(E360:J360,MATCH(YEAR(A360)+1,$E$1:$J$1,0)),"")</f>
        <v/>
      </c>
      <c r="L360">
        <f>IFERROR(D360/K360,"")</f>
        <v/>
      </c>
    </row>
    <row r="361">
      <c r="C361">
        <f>IFERROR(VLOOKUP(B361,'Subsector Map'!$A:$B,2,0),"")</f>
        <v/>
      </c>
      <c r="K361">
        <f>IFERROR(INDEX(E361:J361,MATCH(YEAR(A361)+1,$E$1:$J$1,0)),"")</f>
        <v/>
      </c>
      <c r="L361">
        <f>IFERROR(D361/K361,"")</f>
        <v/>
      </c>
    </row>
    <row r="362">
      <c r="C362">
        <f>IFERROR(VLOOKUP(B362,'Subsector Map'!$A:$B,2,0),"")</f>
        <v/>
      </c>
      <c r="K362">
        <f>IFERROR(INDEX(E362:J362,MATCH(YEAR(A362)+1,$E$1:$J$1,0)),"")</f>
        <v/>
      </c>
      <c r="L362">
        <f>IFERROR(D362/K362,"")</f>
        <v/>
      </c>
    </row>
    <row r="363">
      <c r="C363">
        <f>IFERROR(VLOOKUP(B363,'Subsector Map'!$A:$B,2,0),"")</f>
        <v/>
      </c>
      <c r="K363">
        <f>IFERROR(INDEX(E363:J363,MATCH(YEAR(A363)+1,$E$1:$J$1,0)),"")</f>
        <v/>
      </c>
      <c r="L363">
        <f>IFERROR(D363/K363,"")</f>
        <v/>
      </c>
    </row>
    <row r="364">
      <c r="C364">
        <f>IFERROR(VLOOKUP(B364,'Subsector Map'!$A:$B,2,0),"")</f>
        <v/>
      </c>
      <c r="K364">
        <f>IFERROR(INDEX(E364:J364,MATCH(YEAR(A364)+1,$E$1:$J$1,0)),"")</f>
        <v/>
      </c>
      <c r="L364">
        <f>IFERROR(D364/K364,"")</f>
        <v/>
      </c>
    </row>
    <row r="365">
      <c r="C365">
        <f>IFERROR(VLOOKUP(B365,'Subsector Map'!$A:$B,2,0),"")</f>
        <v/>
      </c>
      <c r="K365">
        <f>IFERROR(INDEX(E365:J365,MATCH(YEAR(A365)+1,$E$1:$J$1,0)),"")</f>
        <v/>
      </c>
      <c r="L365">
        <f>IFERROR(D365/K365,"")</f>
        <v/>
      </c>
    </row>
    <row r="366">
      <c r="C366">
        <f>IFERROR(VLOOKUP(B366,'Subsector Map'!$A:$B,2,0),"")</f>
        <v/>
      </c>
      <c r="K366">
        <f>IFERROR(INDEX(E366:J366,MATCH(YEAR(A366)+1,$E$1:$J$1,0)),"")</f>
        <v/>
      </c>
      <c r="L366">
        <f>IFERROR(D366/K366,"")</f>
        <v/>
      </c>
    </row>
    <row r="367">
      <c r="C367">
        <f>IFERROR(VLOOKUP(B367,'Subsector Map'!$A:$B,2,0),"")</f>
        <v/>
      </c>
      <c r="K367">
        <f>IFERROR(INDEX(E367:J367,MATCH(YEAR(A367)+1,$E$1:$J$1,0)),"")</f>
        <v/>
      </c>
      <c r="L367">
        <f>IFERROR(D367/K367,"")</f>
        <v/>
      </c>
    </row>
    <row r="368">
      <c r="C368">
        <f>IFERROR(VLOOKUP(B368,'Subsector Map'!$A:$B,2,0),"")</f>
        <v/>
      </c>
      <c r="K368">
        <f>IFERROR(INDEX(E368:J368,MATCH(YEAR(A368)+1,$E$1:$J$1,0)),"")</f>
        <v/>
      </c>
      <c r="L368">
        <f>IFERROR(D368/K368,"")</f>
        <v/>
      </c>
    </row>
    <row r="369">
      <c r="C369">
        <f>IFERROR(VLOOKUP(B369,'Subsector Map'!$A:$B,2,0),"")</f>
        <v/>
      </c>
      <c r="K369">
        <f>IFERROR(INDEX(E369:J369,MATCH(YEAR(A369)+1,$E$1:$J$1,0)),"")</f>
        <v/>
      </c>
      <c r="L369">
        <f>IFERROR(D369/K369,"")</f>
        <v/>
      </c>
    </row>
    <row r="370">
      <c r="C370">
        <f>IFERROR(VLOOKUP(B370,'Subsector Map'!$A:$B,2,0),"")</f>
        <v/>
      </c>
      <c r="K370">
        <f>IFERROR(INDEX(E370:J370,MATCH(YEAR(A370)+1,$E$1:$J$1,0)),"")</f>
        <v/>
      </c>
      <c r="L370">
        <f>IFERROR(D370/K370,"")</f>
        <v/>
      </c>
    </row>
    <row r="371">
      <c r="C371">
        <f>IFERROR(VLOOKUP(B371,'Subsector Map'!$A:$B,2,0),"")</f>
        <v/>
      </c>
      <c r="K371">
        <f>IFERROR(INDEX(E371:J371,MATCH(YEAR(A371)+1,$E$1:$J$1,0)),"")</f>
        <v/>
      </c>
      <c r="L371">
        <f>IFERROR(D371/K371,"")</f>
        <v/>
      </c>
    </row>
    <row r="372">
      <c r="C372">
        <f>IFERROR(VLOOKUP(B372,'Subsector Map'!$A:$B,2,0),"")</f>
        <v/>
      </c>
      <c r="K372">
        <f>IFERROR(INDEX(E372:J372,MATCH(YEAR(A372)+1,$E$1:$J$1,0)),"")</f>
        <v/>
      </c>
      <c r="L372">
        <f>IFERROR(D372/K372,"")</f>
        <v/>
      </c>
    </row>
    <row r="373">
      <c r="C373">
        <f>IFERROR(VLOOKUP(B373,'Subsector Map'!$A:$B,2,0),"")</f>
        <v/>
      </c>
      <c r="K373">
        <f>IFERROR(INDEX(E373:J373,MATCH(YEAR(A373)+1,$E$1:$J$1,0)),"")</f>
        <v/>
      </c>
      <c r="L373">
        <f>IFERROR(D373/K373,"")</f>
        <v/>
      </c>
    </row>
    <row r="374">
      <c r="C374">
        <f>IFERROR(VLOOKUP(B374,'Subsector Map'!$A:$B,2,0),"")</f>
        <v/>
      </c>
      <c r="K374">
        <f>IFERROR(INDEX(E374:J374,MATCH(YEAR(A374)+1,$E$1:$J$1,0)),"")</f>
        <v/>
      </c>
      <c r="L374">
        <f>IFERROR(D374/K374,"")</f>
        <v/>
      </c>
    </row>
    <row r="375">
      <c r="C375">
        <f>IFERROR(VLOOKUP(B375,'Subsector Map'!$A:$B,2,0),"")</f>
        <v/>
      </c>
      <c r="K375">
        <f>IFERROR(INDEX(E375:J375,MATCH(YEAR(A375)+1,$E$1:$J$1,0)),"")</f>
        <v/>
      </c>
      <c r="L375">
        <f>IFERROR(D375/K375,"")</f>
        <v/>
      </c>
    </row>
    <row r="376">
      <c r="C376">
        <f>IFERROR(VLOOKUP(B376,'Subsector Map'!$A:$B,2,0),"")</f>
        <v/>
      </c>
      <c r="K376">
        <f>IFERROR(INDEX(E376:J376,MATCH(YEAR(A376)+1,$E$1:$J$1,0)),"")</f>
        <v/>
      </c>
      <c r="L376">
        <f>IFERROR(D376/K376,"")</f>
        <v/>
      </c>
    </row>
    <row r="377">
      <c r="C377">
        <f>IFERROR(VLOOKUP(B377,'Subsector Map'!$A:$B,2,0),"")</f>
        <v/>
      </c>
      <c r="K377">
        <f>IFERROR(INDEX(E377:J377,MATCH(YEAR(A377)+1,$E$1:$J$1,0)),"")</f>
        <v/>
      </c>
      <c r="L377">
        <f>IFERROR(D377/K377,"")</f>
        <v/>
      </c>
    </row>
    <row r="378">
      <c r="C378">
        <f>IFERROR(VLOOKUP(B378,'Subsector Map'!$A:$B,2,0),"")</f>
        <v/>
      </c>
      <c r="K378">
        <f>IFERROR(INDEX(E378:J378,MATCH(YEAR(A378)+1,$E$1:$J$1,0)),"")</f>
        <v/>
      </c>
      <c r="L378">
        <f>IFERROR(D378/K378,"")</f>
        <v/>
      </c>
    </row>
    <row r="379">
      <c r="C379">
        <f>IFERROR(VLOOKUP(B379,'Subsector Map'!$A:$B,2,0),"")</f>
        <v/>
      </c>
      <c r="K379">
        <f>IFERROR(INDEX(E379:J379,MATCH(YEAR(A379)+1,$E$1:$J$1,0)),"")</f>
        <v/>
      </c>
      <c r="L379">
        <f>IFERROR(D379/K379,"")</f>
        <v/>
      </c>
    </row>
    <row r="380">
      <c r="C380">
        <f>IFERROR(VLOOKUP(B380,'Subsector Map'!$A:$B,2,0),"")</f>
        <v/>
      </c>
      <c r="K380">
        <f>IFERROR(INDEX(E380:J380,MATCH(YEAR(A380)+1,$E$1:$J$1,0)),"")</f>
        <v/>
      </c>
      <c r="L380">
        <f>IFERROR(D380/K380,"")</f>
        <v/>
      </c>
    </row>
    <row r="381">
      <c r="C381">
        <f>IFERROR(VLOOKUP(B381,'Subsector Map'!$A:$B,2,0),"")</f>
        <v/>
      </c>
      <c r="K381">
        <f>IFERROR(INDEX(E381:J381,MATCH(YEAR(A381)+1,$E$1:$J$1,0)),"")</f>
        <v/>
      </c>
      <c r="L381">
        <f>IFERROR(D381/K381,"")</f>
        <v/>
      </c>
    </row>
    <row r="382">
      <c r="C382">
        <f>IFERROR(VLOOKUP(B382,'Subsector Map'!$A:$B,2,0),"")</f>
        <v/>
      </c>
      <c r="K382">
        <f>IFERROR(INDEX(E382:J382,MATCH(YEAR(A382)+1,$E$1:$J$1,0)),"")</f>
        <v/>
      </c>
      <c r="L382">
        <f>IFERROR(D382/K382,"")</f>
        <v/>
      </c>
    </row>
    <row r="383">
      <c r="C383">
        <f>IFERROR(VLOOKUP(B383,'Subsector Map'!$A:$B,2,0),"")</f>
        <v/>
      </c>
      <c r="K383">
        <f>IFERROR(INDEX(E383:J383,MATCH(YEAR(A383)+1,$E$1:$J$1,0)),"")</f>
        <v/>
      </c>
      <c r="L383">
        <f>IFERROR(D383/K383,"")</f>
        <v/>
      </c>
    </row>
    <row r="384">
      <c r="C384">
        <f>IFERROR(VLOOKUP(B384,'Subsector Map'!$A:$B,2,0),"")</f>
        <v/>
      </c>
      <c r="K384">
        <f>IFERROR(INDEX(E384:J384,MATCH(YEAR(A384)+1,$E$1:$J$1,0)),"")</f>
        <v/>
      </c>
      <c r="L384">
        <f>IFERROR(D384/K384,"")</f>
        <v/>
      </c>
    </row>
    <row r="385">
      <c r="C385">
        <f>IFERROR(VLOOKUP(B385,'Subsector Map'!$A:$B,2,0),"")</f>
        <v/>
      </c>
      <c r="K385">
        <f>IFERROR(INDEX(E385:J385,MATCH(YEAR(A385)+1,$E$1:$J$1,0)),"")</f>
        <v/>
      </c>
      <c r="L385">
        <f>IFERROR(D385/K385,"")</f>
        <v/>
      </c>
    </row>
    <row r="386">
      <c r="C386">
        <f>IFERROR(VLOOKUP(B386,'Subsector Map'!$A:$B,2,0),"")</f>
        <v/>
      </c>
      <c r="K386">
        <f>IFERROR(INDEX(E386:J386,MATCH(YEAR(A386)+1,$E$1:$J$1,0)),"")</f>
        <v/>
      </c>
      <c r="L386">
        <f>IFERROR(D386/K386,"")</f>
        <v/>
      </c>
    </row>
    <row r="387">
      <c r="C387">
        <f>IFERROR(VLOOKUP(B387,'Subsector Map'!$A:$B,2,0),"")</f>
        <v/>
      </c>
      <c r="K387">
        <f>IFERROR(INDEX(E387:J387,MATCH(YEAR(A387)+1,$E$1:$J$1,0)),"")</f>
        <v/>
      </c>
      <c r="L387">
        <f>IFERROR(D387/K387,"")</f>
        <v/>
      </c>
    </row>
    <row r="388">
      <c r="C388">
        <f>IFERROR(VLOOKUP(B388,'Subsector Map'!$A:$B,2,0),"")</f>
        <v/>
      </c>
      <c r="K388">
        <f>IFERROR(INDEX(E388:J388,MATCH(YEAR(A388)+1,$E$1:$J$1,0)),"")</f>
        <v/>
      </c>
      <c r="L388">
        <f>IFERROR(D388/K388,"")</f>
        <v/>
      </c>
    </row>
    <row r="389">
      <c r="C389">
        <f>IFERROR(VLOOKUP(B389,'Subsector Map'!$A:$B,2,0),"")</f>
        <v/>
      </c>
      <c r="K389">
        <f>IFERROR(INDEX(E389:J389,MATCH(YEAR(A389)+1,$E$1:$J$1,0)),"")</f>
        <v/>
      </c>
      <c r="L389">
        <f>IFERROR(D389/K389,"")</f>
        <v/>
      </c>
    </row>
    <row r="390">
      <c r="C390">
        <f>IFERROR(VLOOKUP(B390,'Subsector Map'!$A:$B,2,0),"")</f>
        <v/>
      </c>
      <c r="K390">
        <f>IFERROR(INDEX(E390:J390,MATCH(YEAR(A390)+1,$E$1:$J$1,0)),"")</f>
        <v/>
      </c>
      <c r="L390">
        <f>IFERROR(D390/K390,"")</f>
        <v/>
      </c>
    </row>
    <row r="391">
      <c r="C391">
        <f>IFERROR(VLOOKUP(B391,'Subsector Map'!$A:$B,2,0),"")</f>
        <v/>
      </c>
      <c r="K391">
        <f>IFERROR(INDEX(E391:J391,MATCH(YEAR(A391)+1,$E$1:$J$1,0)),"")</f>
        <v/>
      </c>
      <c r="L391">
        <f>IFERROR(D391/K391,"")</f>
        <v/>
      </c>
    </row>
    <row r="392">
      <c r="C392">
        <f>IFERROR(VLOOKUP(B392,'Subsector Map'!$A:$B,2,0),"")</f>
        <v/>
      </c>
      <c r="K392">
        <f>IFERROR(INDEX(E392:J392,MATCH(YEAR(A392)+1,$E$1:$J$1,0)),"")</f>
        <v/>
      </c>
      <c r="L392">
        <f>IFERROR(D392/K392,"")</f>
        <v/>
      </c>
    </row>
    <row r="393">
      <c r="C393">
        <f>IFERROR(VLOOKUP(B393,'Subsector Map'!$A:$B,2,0),"")</f>
        <v/>
      </c>
      <c r="K393">
        <f>IFERROR(INDEX(E393:J393,MATCH(YEAR(A393)+1,$E$1:$J$1,0)),"")</f>
        <v/>
      </c>
      <c r="L393">
        <f>IFERROR(D393/K393,"")</f>
        <v/>
      </c>
    </row>
    <row r="394">
      <c r="C394">
        <f>IFERROR(VLOOKUP(B394,'Subsector Map'!$A:$B,2,0),"")</f>
        <v/>
      </c>
      <c r="K394">
        <f>IFERROR(INDEX(E394:J394,MATCH(YEAR(A394)+1,$E$1:$J$1,0)),"")</f>
        <v/>
      </c>
      <c r="L394">
        <f>IFERROR(D394/K394,"")</f>
        <v/>
      </c>
    </row>
    <row r="395">
      <c r="C395">
        <f>IFERROR(VLOOKUP(B395,'Subsector Map'!$A:$B,2,0),"")</f>
        <v/>
      </c>
      <c r="K395">
        <f>IFERROR(INDEX(E395:J395,MATCH(YEAR(A395)+1,$E$1:$J$1,0)),"")</f>
        <v/>
      </c>
      <c r="L395">
        <f>IFERROR(D395/K395,"")</f>
        <v/>
      </c>
    </row>
    <row r="396">
      <c r="C396">
        <f>IFERROR(VLOOKUP(B396,'Subsector Map'!$A:$B,2,0),"")</f>
        <v/>
      </c>
      <c r="K396">
        <f>IFERROR(INDEX(E396:J396,MATCH(YEAR(A396)+1,$E$1:$J$1,0)),"")</f>
        <v/>
      </c>
      <c r="L396">
        <f>IFERROR(D396/K396,"")</f>
        <v/>
      </c>
    </row>
    <row r="397">
      <c r="C397">
        <f>IFERROR(VLOOKUP(B397,'Subsector Map'!$A:$B,2,0),"")</f>
        <v/>
      </c>
      <c r="K397">
        <f>IFERROR(INDEX(E397:J397,MATCH(YEAR(A397)+1,$E$1:$J$1,0)),"")</f>
        <v/>
      </c>
      <c r="L397">
        <f>IFERROR(D397/K397,"")</f>
        <v/>
      </c>
    </row>
    <row r="398">
      <c r="C398">
        <f>IFERROR(VLOOKUP(B398,'Subsector Map'!$A:$B,2,0),"")</f>
        <v/>
      </c>
      <c r="K398">
        <f>IFERROR(INDEX(E398:J398,MATCH(YEAR(A398)+1,$E$1:$J$1,0)),"")</f>
        <v/>
      </c>
      <c r="L398">
        <f>IFERROR(D398/K398,"")</f>
        <v/>
      </c>
    </row>
    <row r="399">
      <c r="C399">
        <f>IFERROR(VLOOKUP(B399,'Subsector Map'!$A:$B,2,0),"")</f>
        <v/>
      </c>
      <c r="K399">
        <f>IFERROR(INDEX(E399:J399,MATCH(YEAR(A399)+1,$E$1:$J$1,0)),"")</f>
        <v/>
      </c>
      <c r="L399">
        <f>IFERROR(D399/K399,"")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</cols>
  <sheetData>
    <row r="1">
      <c r="A1" s="3" t="inlineStr">
        <is>
          <t>PUBLIC FORWARD EV/REVENUE — median by subsector by snapshot (As-Of Date)</t>
        </is>
      </c>
    </row>
    <row r="2">
      <c r="A2" s="4" t="inlineStr">
        <is>
          <t>Put your snapshot dates in row 4 (B4, C4...). Cells = median Fwd EV/Rev for that sector at that date.</t>
        </is>
      </c>
    </row>
    <row r="4">
      <c r="A4" s="2" t="inlineStr">
        <is>
          <t>Subsector \ As-Of</t>
        </is>
      </c>
      <c r="B4" t="inlineStr">
        <is>
          <t>(date1)</t>
        </is>
      </c>
      <c r="C4" t="inlineStr">
        <is>
          <t>(date2)</t>
        </is>
      </c>
      <c r="D4" t="inlineStr">
        <is>
          <t>(date3)</t>
        </is>
      </c>
    </row>
    <row r="5">
      <c r="A5" s="3" t="inlineStr">
        <is>
          <t>Asset &amp; Wealth Tech</t>
        </is>
      </c>
      <c r="B5">
        <f>IFERROR(MEDIAN(IF((Comps!$C$3:$C$400=$A5)*(Comps!$A$3:$A$400=B$4),Comps!$L$3:$L$400)),"")</f>
        <v/>
      </c>
      <c r="C5">
        <f>IFERROR(MEDIAN(IF((Comps!$C$3:$C$400=$A5)*(Comps!$A$3:$A$400=C$4),Comps!$L$3:$L$400)),"")</f>
        <v/>
      </c>
      <c r="D5">
        <f>IFERROR(MEDIAN(IF((Comps!$C$3:$C$400=$A5)*(Comps!$A$3:$A$400=D$4),Comps!$L$3:$L$400)),"")</f>
        <v/>
      </c>
    </row>
    <row r="6">
      <c r="A6" s="3" t="inlineStr">
        <is>
          <t>Banking &amp; Lending Tech</t>
        </is>
      </c>
      <c r="B6">
        <f>IFERROR(MEDIAN(IF((Comps!$C$3:$C$400=$A6)*(Comps!$A$3:$A$400=B$4),Comps!$L$3:$L$400)),"")</f>
        <v/>
      </c>
      <c r="C6">
        <f>IFERROR(MEDIAN(IF((Comps!$C$3:$C$400=$A6)*(Comps!$A$3:$A$400=C$4),Comps!$L$3:$L$400)),"")</f>
        <v/>
      </c>
      <c r="D6">
        <f>IFERROR(MEDIAN(IF((Comps!$C$3:$C$400=$A6)*(Comps!$A$3:$A$400=D$4),Comps!$L$3:$L$400)),"")</f>
        <v/>
      </c>
    </row>
    <row r="7">
      <c r="A7" s="3" t="inlineStr">
        <is>
          <t>Capital Markets Tech</t>
        </is>
      </c>
      <c r="B7">
        <f>IFERROR(MEDIAN(IF((Comps!$C$3:$C$400=$A7)*(Comps!$A$3:$A$400=B$4),Comps!$L$3:$L$400)),"")</f>
        <v/>
      </c>
      <c r="C7">
        <f>IFERROR(MEDIAN(IF((Comps!$C$3:$C$400=$A7)*(Comps!$A$3:$A$400=C$4),Comps!$L$3:$L$400)),"")</f>
        <v/>
      </c>
      <c r="D7">
        <f>IFERROR(MEDIAN(IF((Comps!$C$3:$C$400=$A7)*(Comps!$A$3:$A$400=D$4),Comps!$L$3:$L$400)),"")</f>
        <v/>
      </c>
    </row>
    <row r="8">
      <c r="A8" s="3" t="inlineStr">
        <is>
          <t>Corporate Financial Function</t>
        </is>
      </c>
      <c r="B8">
        <f>IFERROR(MEDIAN(IF((Comps!$C$3:$C$400=$A8)*(Comps!$A$3:$A$400=B$4),Comps!$L$3:$L$400)),"")</f>
        <v/>
      </c>
      <c r="C8">
        <f>IFERROR(MEDIAN(IF((Comps!$C$3:$C$400=$A8)*(Comps!$A$3:$A$400=C$4),Comps!$L$3:$L$400)),"")</f>
        <v/>
      </c>
      <c r="D8">
        <f>IFERROR(MEDIAN(IF((Comps!$C$3:$C$400=$A8)*(Comps!$A$3:$A$400=D$4),Comps!$L$3:$L$400)),"")</f>
        <v/>
      </c>
    </row>
    <row r="9">
      <c r="A9" s="3" t="inlineStr">
        <is>
          <t>Financial Info &amp; Analytics</t>
        </is>
      </c>
      <c r="B9">
        <f>IFERROR(MEDIAN(IF((Comps!$C$3:$C$400=$A9)*(Comps!$A$3:$A$400=B$4),Comps!$L$3:$L$400)),"")</f>
        <v/>
      </c>
      <c r="C9">
        <f>IFERROR(MEDIAN(IF((Comps!$C$3:$C$400=$A9)*(Comps!$A$3:$A$400=C$4),Comps!$L$3:$L$400)),"")</f>
        <v/>
      </c>
      <c r="D9">
        <f>IFERROR(MEDIAN(IF((Comps!$C$3:$C$400=$A9)*(Comps!$A$3:$A$400=D$4),Comps!$L$3:$L$400)),"")</f>
        <v/>
      </c>
    </row>
    <row r="10">
      <c r="A10" s="3" t="inlineStr">
        <is>
          <t>InsurTech</t>
        </is>
      </c>
      <c r="B10">
        <f>IFERROR(MEDIAN(IF((Comps!$C$3:$C$400=$A10)*(Comps!$A$3:$A$400=B$4),Comps!$L$3:$L$400)),"")</f>
        <v/>
      </c>
      <c r="C10">
        <f>IFERROR(MEDIAN(IF((Comps!$C$3:$C$400=$A10)*(Comps!$A$3:$A$400=C$4),Comps!$L$3:$L$400)),"")</f>
        <v/>
      </c>
      <c r="D10">
        <f>IFERROR(MEDIAN(IF((Comps!$C$3:$C$400=$A10)*(Comps!$A$3:$A$400=D$4),Comps!$L$3:$L$400)),"")</f>
        <v/>
      </c>
    </row>
    <row r="11">
      <c r="A11" s="3" t="inlineStr">
        <is>
          <t>Payments</t>
        </is>
      </c>
      <c r="B11">
        <f>IFERROR(MEDIAN(IF((Comps!$C$3:$C$400=$A11)*(Comps!$A$3:$A$400=B$4),Comps!$L$3:$L$400)),"")</f>
        <v/>
      </c>
      <c r="C11">
        <f>IFERROR(MEDIAN(IF((Comps!$C$3:$C$400=$A11)*(Comps!$A$3:$A$400=C$4),Comps!$L$3:$L$400)),"")</f>
        <v/>
      </c>
      <c r="D11">
        <f>IFERROR(MEDIAN(IF((Comps!$C$3:$C$400=$A11)*(Comps!$A$3:$A$400=D$4),Comps!$L$3:$L$400)),"")</f>
        <v/>
      </c>
    </row>
    <row r="12">
      <c r="A12" s="3" t="inlineStr">
        <is>
          <t>Real Estate &amp; Mortgage Tech</t>
        </is>
      </c>
      <c r="B12">
        <f>IFERROR(MEDIAN(IF((Comps!$C$3:$C$400=$A12)*(Comps!$A$3:$A$400=B$4),Comps!$L$3:$L$400)),"")</f>
        <v/>
      </c>
      <c r="C12">
        <f>IFERROR(MEDIAN(IF((Comps!$C$3:$C$400=$A12)*(Comps!$A$3:$A$400=C$4),Comps!$L$3:$L$400)),"")</f>
        <v/>
      </c>
      <c r="D12">
        <f>IFERROR(MEDIAN(IF((Comps!$C$3:$C$400=$A12)*(Comps!$A$3:$A$400=D$4),Comps!$L$3:$L$400)),"")</f>
        <v/>
      </c>
    </row>
    <row r="14">
      <c r="A14" s="4" t="inlineStr">
        <is>
          <t>(Once populated, the private–public SPREAD = these public medians minus the median private EV/Rev from your deals.)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2026-06-23T15:10:41Z</dcterms:created>
  <dcterms:modified xsi:type="dcterms:W3CDTF">2026-06-23T15:11:03Z</dcterms:modified>
</cp:coreProperties>
</file>