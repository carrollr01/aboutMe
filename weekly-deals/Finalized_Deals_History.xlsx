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CF\FT\5. Valuation Materials &amp; Comps\Precedent Deals Database\"/>
    </mc:Choice>
  </mc:AlternateContent>
  <xr:revisionPtr revIDLastSave="0" documentId="13_ncr:1_{462CEE50-67EA-492A-8DC7-3733B36ACE87}" xr6:coauthVersionLast="47" xr6:coauthVersionMax="47" xr10:uidLastSave="{00000000-0000-0000-0000-000000000000}"/>
  <bookViews>
    <workbookView xWindow="8325" yWindow="-16320" windowWidth="29040" windowHeight="15720" activeTab="1" xr2:uid="{00000000-000D-0000-FFFF-FFFF00000000}"/>
  </bookViews>
  <sheets>
    <sheet name="All M&amp;A (PE &amp; Strategic)" sheetId="9" r:id="rId1"/>
    <sheet name="Growth Capital Raises" sheetId="6" r:id="rId2"/>
  </sheets>
  <definedNames>
    <definedName name="_xlnm._FilterDatabase" localSheetId="0" hidden="1">'All M&amp;A (PE &amp; Strategic)'!$B$3:$R$332</definedName>
    <definedName name="_xlnm._FilterDatabase" localSheetId="1" hidden="1">'Growth Capital Raises'!$A$3:$M$319</definedName>
    <definedName name="Axis">OFFSET(#REF!,0,0,COUNTA(#REF!)-1)</definedName>
    <definedName name="CIQWBGuid" hidden="1">"60fb9964-8ccb-4aec-a8e1-4b5f24b197ac"</definedName>
    <definedName name="CIQWBInfo" hidden="1">"{ ""CIQVersion"":""9.50.2716.4594"" }"</definedName>
    <definedName name="Copyright">#REF!</definedName>
    <definedName name="CopyrightAnalytics">#REF!</definedName>
    <definedName name="CreatedFor">#REF!</definedName>
    <definedName name="CreatedForTitle">#REF!</definedName>
    <definedName name="Data1">OFFSET(#REF!,0,0,COUNTA(#REF!)-1)</definedName>
    <definedName name="Data2">OFFSET(#REF!,0,0,COUNTA(#REF!)-1)</definedName>
    <definedName name="DealType">OFFSET(#REF!,1,0,COUNTA(#REF!)-1)</definedName>
    <definedName name="DownloadedOn">#REF!</definedName>
    <definedName name="IndustryNames">OFFSET(#REF!,1,0,COUNTA(#REF!)-1)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45485.8235416667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NumOfDeals">OFFSET(#REF!,1,0,COUNTA(#REF!)-1)</definedName>
    <definedName name="NumOfIndustry">OFFSET(#REF!,1,0,COUNTA(#REF!)-1)</definedName>
    <definedName name="SearchCriteria">#REF!</definedName>
    <definedName name="SearchCriteria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9" l="1"/>
  <c r="J79" i="9"/>
  <c r="J89" i="9"/>
  <c r="F322" i="6"/>
  <c r="F323" i="6"/>
  <c r="F324" i="6"/>
  <c r="F325" i="6"/>
  <c r="F326" i="6"/>
  <c r="F327" i="6"/>
  <c r="F328" i="6"/>
  <c r="F329" i="6"/>
  <c r="P194" i="9"/>
  <c r="P198" i="9"/>
  <c r="P201" i="9"/>
  <c r="P202" i="9"/>
  <c r="P206" i="9"/>
  <c r="P205" i="9"/>
  <c r="P207" i="9"/>
  <c r="P208" i="9"/>
  <c r="P210" i="9"/>
  <c r="P211" i="9"/>
  <c r="P213" i="9"/>
  <c r="C335" i="9"/>
  <c r="G335" i="9"/>
  <c r="C336" i="9"/>
  <c r="G336" i="9"/>
  <c r="C337" i="9"/>
  <c r="G337" i="9"/>
  <c r="C338" i="9"/>
  <c r="G338" i="9"/>
  <c r="C339" i="9"/>
  <c r="G339" i="9"/>
  <c r="C340" i="9"/>
  <c r="G340" i="9"/>
  <c r="C341" i="9"/>
  <c r="G341" i="9"/>
  <c r="C342" i="9"/>
  <c r="G34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Carroll, Ryan</author>
    <author>Grigorian, Grayson</author>
  </authors>
  <commentList>
    <comment ref="J17" authorId="0" shapeId="0" xr:uid="{E6DC5446-C994-4B40-BD96-53AC4F0B29D3}">
      <text>
        <r>
          <rPr>
            <b/>
            <sz val="9"/>
            <color indexed="81"/>
            <rFont val="Tahoma"/>
            <family val="2"/>
          </rPr>
          <t>Carroll, Ryan:</t>
        </r>
        <r>
          <rPr>
            <sz val="9"/>
            <color indexed="81"/>
            <rFont val="Tahoma"/>
            <family val="2"/>
          </rPr>
          <t xml:space="preserve">
LTM</t>
        </r>
      </text>
    </comment>
    <comment ref="K17" authorId="0" shapeId="0" xr:uid="{F3EBB0EB-7959-4DE4-BF80-207E56EE04D9}">
      <text>
        <r>
          <rPr>
            <b/>
            <sz val="9"/>
            <color indexed="81"/>
            <rFont val="Tahoma"/>
            <family val="2"/>
          </rPr>
          <t>Carroll, Ryan:</t>
        </r>
        <r>
          <rPr>
            <sz val="9"/>
            <color indexed="81"/>
            <rFont val="Tahoma"/>
            <family val="2"/>
          </rPr>
          <t xml:space="preserve">
LTM</t>
        </r>
      </text>
    </comment>
    <comment ref="J20" authorId="0" shapeId="0" xr:uid="{3142734F-C3D0-470C-8872-C0311D5CF101}">
      <text>
        <r>
          <rPr>
            <b/>
            <sz val="9"/>
            <color indexed="81"/>
            <rFont val="Tahoma"/>
            <family val="2"/>
          </rPr>
          <t>Carroll, Ryan:</t>
        </r>
        <r>
          <rPr>
            <sz val="9"/>
            <color indexed="81"/>
            <rFont val="Tahoma"/>
            <family val="2"/>
          </rPr>
          <t xml:space="preserve">
2026E Metrics</t>
        </r>
      </text>
    </comment>
    <comment ref="K20" authorId="0" shapeId="0" xr:uid="{9B916017-FE18-443C-900C-66FF67DEB705}">
      <text>
        <r>
          <rPr>
            <b/>
            <sz val="9"/>
            <color indexed="81"/>
            <rFont val="Tahoma"/>
            <family val="2"/>
          </rPr>
          <t>Carroll, Ryan:</t>
        </r>
        <r>
          <rPr>
            <sz val="9"/>
            <color indexed="81"/>
            <rFont val="Tahoma"/>
            <family val="2"/>
          </rPr>
          <t xml:space="preserve">
2026E Metrics</t>
        </r>
      </text>
    </comment>
    <comment ref="J21" authorId="0" shapeId="0" xr:uid="{E1C20785-ADB6-4917-9872-B9A10CD1DD2E}">
      <text>
        <r>
          <rPr>
            <b/>
            <sz val="9"/>
            <color indexed="81"/>
            <rFont val="Tahoma"/>
            <family val="2"/>
          </rPr>
          <t>Carroll, Ryan
2025A Metrics</t>
        </r>
      </text>
    </comment>
    <comment ref="K21" authorId="0" shapeId="0" xr:uid="{0B28BEA4-4FF2-456F-9C31-F3D8836FE8E6}">
      <text>
        <r>
          <rPr>
            <b/>
            <sz val="9"/>
            <color indexed="81"/>
            <rFont val="Tahoma"/>
            <family val="2"/>
          </rPr>
          <t>Carroll, Ryan:</t>
        </r>
        <r>
          <rPr>
            <sz val="9"/>
            <color indexed="81"/>
            <rFont val="Tahoma"/>
            <family val="2"/>
          </rPr>
          <t xml:space="preserve">
2025A Metrics</t>
        </r>
      </text>
    </comment>
    <comment ref="J46" authorId="1" shapeId="0" xr:uid="{41176A2C-A3E3-4C0A-9E68-010C53DBFD72}">
      <text>
        <r>
          <rPr>
            <b/>
            <sz val="9"/>
            <color indexed="81"/>
            <rFont val="Tahoma"/>
            <charset val="1"/>
          </rPr>
          <t>Grigorian, Grayson:</t>
        </r>
        <r>
          <rPr>
            <sz val="9"/>
            <color indexed="81"/>
            <rFont val="Tahoma"/>
            <charset val="1"/>
          </rPr>
          <t xml:space="preserve">
Expected YE ARR figure</t>
        </r>
      </text>
    </comment>
    <comment ref="I130" authorId="1" shapeId="0" xr:uid="{66F76A7E-A974-4351-9F60-4F04E000EE11}">
      <text>
        <r>
          <rPr>
            <b/>
            <sz val="9"/>
            <color indexed="81"/>
            <rFont val="Tahoma"/>
            <charset val="1"/>
          </rPr>
          <t>Grigorian, Grayson:</t>
        </r>
        <r>
          <rPr>
            <sz val="9"/>
            <color indexed="81"/>
            <rFont val="Tahoma"/>
            <charset val="1"/>
          </rPr>
          <t xml:space="preserve">
From THL; do not disclose</t>
        </r>
      </text>
    </comment>
    <comment ref="J130" authorId="1" shapeId="0" xr:uid="{DCAA754D-8F6D-4CA7-9283-F9D2B1E70775}">
      <text>
        <r>
          <rPr>
            <b/>
            <sz val="9"/>
            <color indexed="81"/>
            <rFont val="Tahoma"/>
            <charset val="1"/>
          </rPr>
          <t>Grigorian, Grayson:</t>
        </r>
        <r>
          <rPr>
            <sz val="9"/>
            <color indexed="81"/>
            <rFont val="Tahoma"/>
            <charset val="1"/>
          </rPr>
          <t xml:space="preserve">
From THL; do not disclose</t>
        </r>
      </text>
    </comment>
  </commentList>
</comments>
</file>

<file path=xl/sharedStrings.xml><?xml version="1.0" encoding="utf-8"?>
<sst xmlns="http://schemas.openxmlformats.org/spreadsheetml/2006/main" count="5698" uniqueCount="1981">
  <si>
    <t>Target</t>
  </si>
  <si>
    <t>Target Description</t>
  </si>
  <si>
    <t>Lead Investor(s)</t>
  </si>
  <si>
    <t>Target Country</t>
  </si>
  <si>
    <t>Acquirer</t>
  </si>
  <si>
    <t>Amount ($M)</t>
  </si>
  <si>
    <t>Link / Press Release</t>
  </si>
  <si>
    <t xml:space="preserve">     </t>
  </si>
  <si>
    <t>Public Deal</t>
  </si>
  <si>
    <t>InsurTech</t>
  </si>
  <si>
    <t>Payments</t>
  </si>
  <si>
    <t>Sector</t>
  </si>
  <si>
    <t>Corporate Financial Function</t>
  </si>
  <si>
    <t>Deal Type</t>
  </si>
  <si>
    <t>Asset &amp; Wealth Tech</t>
  </si>
  <si>
    <t>Banking &amp; Lending Tech</t>
  </si>
  <si>
    <t>Capital Markets Tech</t>
  </si>
  <si>
    <t>Financial Info &amp; Analytics</t>
  </si>
  <si>
    <t>x</t>
  </si>
  <si>
    <t>Real Estate &amp; Mortgage Tech</t>
  </si>
  <si>
    <t>Mults Source</t>
  </si>
  <si>
    <t>Mults Basis</t>
  </si>
  <si>
    <t>EV / Revenue</t>
  </si>
  <si>
    <t>EV / EBITDA</t>
  </si>
  <si>
    <t>Deal Count:</t>
  </si>
  <si>
    <t>Seller</t>
  </si>
  <si>
    <t>HL Deal</t>
  </si>
  <si>
    <t>Strategic M&amp;A</t>
  </si>
  <si>
    <t>PE Buyout/Control</t>
  </si>
  <si>
    <t>Link</t>
  </si>
  <si>
    <t>USA</t>
  </si>
  <si>
    <t>VCs</t>
  </si>
  <si>
    <t>Public</t>
  </si>
  <si>
    <t>CapIQ</t>
  </si>
  <si>
    <t>LTM</t>
  </si>
  <si>
    <t>CAN</t>
  </si>
  <si>
    <t>India</t>
  </si>
  <si>
    <t>Fireblocks</t>
  </si>
  <si>
    <t>AUS</t>
  </si>
  <si>
    <t>Zilch</t>
  </si>
  <si>
    <t>Blackstone</t>
  </si>
  <si>
    <t>-</t>
  </si>
  <si>
    <t>Netherlands</t>
  </si>
  <si>
    <t>China</t>
  </si>
  <si>
    <t>BridgeFT</t>
  </si>
  <si>
    <t>iAltA Holdings</t>
  </si>
  <si>
    <t>Developer of cloud-based wealth infrastructure software intended to provide unified access to financial data and analytics</t>
  </si>
  <si>
    <t>3iQ</t>
  </si>
  <si>
    <t>Coincheck</t>
  </si>
  <si>
    <t>Monex Group</t>
  </si>
  <si>
    <t>Operator of an investment management fund intended to offer exposure to crypto assets to Canadian investors</t>
  </si>
  <si>
    <t>Fjord Bank</t>
  </si>
  <si>
    <t>Lithuania</t>
  </si>
  <si>
    <t>Specializes in loans and deposits for consumer credit, car loans, home improvement and refinancing, thereby giving each customer a favorable and personalized price</t>
  </si>
  <si>
    <t>Opera</t>
  </si>
  <si>
    <t>Mono</t>
  </si>
  <si>
    <t>Flutterwave</t>
  </si>
  <si>
    <t>Nigeria</t>
  </si>
  <si>
    <t>Provides access to financial statements for historical and real-time transactions, balances, bank statements, credit, and spending patterns of a customer, along with access to initiate direct debit payments and recurring debit, enabling businesses to get an accessible way to check their financial statements and transactions conveniently</t>
  </si>
  <si>
    <t>Architect Financial</t>
  </si>
  <si>
    <t>Miami International Holdings</t>
  </si>
  <si>
    <t>Developer of a financial trading platform designed to offer trading of global futures, options and digital assets</t>
  </si>
  <si>
    <t>Tres Finance</t>
  </si>
  <si>
    <t>Enables financial workflows such as reconciliation, balance calculation, audit, and reporting for Web3 assets from on-ramp to off-ramp, helping finance teams to reduce manual spreadsheet work</t>
  </si>
  <si>
    <t>OneStream</t>
  </si>
  <si>
    <t>Company platform unifies core financial and operational data and processes within a single platform, with solutions that maintain the integrity of corporate reporting standards for Finance while providing operationally insights for business users</t>
  </si>
  <si>
    <t>SolveXia</t>
  </si>
  <si>
    <t>Gtreasury</t>
  </si>
  <si>
    <t>Developer of cloud-based automation and analytics solutions catering to the financial, healthcare, retail, and other industries</t>
  </si>
  <si>
    <t>Brightfin</t>
  </si>
  <si>
    <t>Proven Optics</t>
  </si>
  <si>
    <t>Developer of information technology expense management software intended to support enterprise technology cost and asset management</t>
  </si>
  <si>
    <t>Periscope Equity</t>
  </si>
  <si>
    <t>Cyera</t>
  </si>
  <si>
    <t>Developer of a holistic data storage and security platform designed to prevent breaches and catch data risks in an organization</t>
  </si>
  <si>
    <t>Triple Play Pay</t>
  </si>
  <si>
    <t>Solutions by Text</t>
  </si>
  <si>
    <t>Specializes in accepting payments, integration through application programming interfaces and software development kits, merchant onboarding, reporting and reconciliation</t>
  </si>
  <si>
    <t>Luxury Presence</t>
  </si>
  <si>
    <t>Bessemer Venture</t>
  </si>
  <si>
    <t>Developer of a real estate growth and client management platform designed to help agents, teams, and brokerages manage brand presence and business development</t>
  </si>
  <si>
    <t>Wint Wealth</t>
  </si>
  <si>
    <t>Vertex Ventures</t>
  </si>
  <si>
    <t>The platform allows users to start investing with as little as ₹1,000, targeting retail investors seeking predictable income alternatives</t>
  </si>
  <si>
    <t xml:space="preserve">Groene Hart Financiele Diensten </t>
  </si>
  <si>
    <t xml:space="preserve">AtomicVest </t>
  </si>
  <si>
    <t>Provider of financial advice and services intended for private individuals, managing directors, companies, and self-employed persons</t>
  </si>
  <si>
    <t>WeLab</t>
  </si>
  <si>
    <t>TOM Group</t>
  </si>
  <si>
    <t>Operator of an online financial platform to provide small consumer loans intended to serve small businesses</t>
  </si>
  <si>
    <t>Alpaca</t>
  </si>
  <si>
    <t>Drive Capital</t>
  </si>
  <si>
    <t>Developer of a modern brokerage platform designed to access financial markets with a developer-friendly application programming interface</t>
  </si>
  <si>
    <t>Osapiens</t>
  </si>
  <si>
    <t>Decarbonization Partners</t>
  </si>
  <si>
    <t>Germany</t>
  </si>
  <si>
    <t>SaaS-based operations automation software intended to drive sustainable growth across their entire value chain</t>
  </si>
  <si>
    <t>NovaSparks</t>
  </si>
  <si>
    <t>Exegy</t>
  </si>
  <si>
    <t>France</t>
  </si>
  <si>
    <t>Developer of ultra-low latency financial market data processing systems intended for real-time trading and market data normalization</t>
  </si>
  <si>
    <t>Peninsular Capital</t>
  </si>
  <si>
    <t>WithCoverage</t>
  </si>
  <si>
    <t>Sequoia Capital</t>
  </si>
  <si>
    <t>Developer of a risk management platform intended to provide insurance services for consumer brands</t>
  </si>
  <si>
    <t>Corgi</t>
  </si>
  <si>
    <t>Glade Brook</t>
  </si>
  <si>
    <t>Operator of an artificial intelligence-powered insurance platform designed to automate and optimize carrier operations</t>
  </si>
  <si>
    <t>Symfos</t>
  </si>
  <si>
    <t>KatRisk</t>
  </si>
  <si>
    <t>UK</t>
  </si>
  <si>
    <t>Developer of an underwriting and risk management platform designed to offer risk analyses with seamless integration and advanced analytics to the reinsurance industry</t>
  </si>
  <si>
    <t>Distributed Technologies Research</t>
  </si>
  <si>
    <t>Bakkt Holdings</t>
  </si>
  <si>
    <t>Developer of a financial technology platform designed to build next-generation global payments infrastructure</t>
  </si>
  <si>
    <t>Outlier Ventures</t>
  </si>
  <si>
    <t>Rain</t>
  </si>
  <si>
    <t>ICONIQ Capital</t>
  </si>
  <si>
    <t>Developer of a noncustodial wallet designed to help users spend their crypto without a centralized exchange</t>
  </si>
  <si>
    <t>StarRez</t>
  </si>
  <si>
    <t>Vista Equity</t>
  </si>
  <si>
    <t>Developer of a student resident and property management platform intended specifically for residential communities</t>
  </si>
  <si>
    <t>Ahauz</t>
  </si>
  <si>
    <t>Abound</t>
  </si>
  <si>
    <t>Developer of a mortgage platform designed to make home equity trackable and accessible.</t>
  </si>
  <si>
    <t>Forward Partners</t>
  </si>
  <si>
    <t>WealthOS</t>
  </si>
  <si>
    <t>JP Morgan</t>
  </si>
  <si>
    <t>Developer of a cloud-native operating system designed to build and run the next generation of savings, investment, and retirement products faster and cheaper than current providers</t>
  </si>
  <si>
    <t>Credit Key</t>
  </si>
  <si>
    <t>Developer of a business-to-business (B2B) payment platform designed to offer a buy now, pay later function</t>
  </si>
  <si>
    <t>Tagit</t>
  </si>
  <si>
    <t>Juniper Group</t>
  </si>
  <si>
    <t>Singapore</t>
  </si>
  <si>
    <t>Developer of an omnichannel digital banking platform designed to support financial institutions in delivering digital banking services</t>
  </si>
  <si>
    <t>SRA Group</t>
  </si>
  <si>
    <t>Superstate</t>
  </si>
  <si>
    <t>Bain Capital</t>
  </si>
  <si>
    <t>Operator of a blockchain-based investment platform intended for facilitating the tokenization and on-chain handling of financial assets</t>
  </si>
  <si>
    <t>Brex</t>
  </si>
  <si>
    <t>Capital One</t>
  </si>
  <si>
    <t>Developer of expense management software and corporate card products designed to help businesses control spending and accelerate financial operations</t>
  </si>
  <si>
    <t>Boundless</t>
  </si>
  <si>
    <t>Payoneer</t>
  </si>
  <si>
    <t>Ireland</t>
  </si>
  <si>
    <t>Developer of an employee experience platform designed to help companies handle multi-country payroll and human resource compliance</t>
  </si>
  <si>
    <t>Pennylane</t>
  </si>
  <si>
    <t>TCV, Blackstone</t>
  </si>
  <si>
    <t>Developer of a digital accounting platform designed to bring financial and accounting data together in a single place</t>
  </si>
  <si>
    <t>Datarails</t>
  </si>
  <si>
    <t>One Peak Partners</t>
  </si>
  <si>
    <t>Israel</t>
  </si>
  <si>
    <t>Developer of a financial analytics platform designed to uncover actionable insights</t>
  </si>
  <si>
    <t>InsurGrid</t>
  </si>
  <si>
    <t>Helium Ventures</t>
  </si>
  <si>
    <t>Developer of a personalized insurance platform designed to connect the insurance space</t>
  </si>
  <si>
    <t>Juspay</t>
  </si>
  <si>
    <t>Developer of a payment infrastructure designed to provide scale and simplicity for users</t>
  </si>
  <si>
    <t>WestBridge Capital</t>
  </si>
  <si>
    <t>Pomelo</t>
  </si>
  <si>
    <t>Index Ventures</t>
  </si>
  <si>
    <t>Argentina</t>
  </si>
  <si>
    <t>Developer of a digital processing platform intended to redefine the possibilities in payment services</t>
  </si>
  <si>
    <t>Paynuri</t>
  </si>
  <si>
    <t>Airwallex</t>
  </si>
  <si>
    <t>South Korea</t>
  </si>
  <si>
    <t>Provider of electronic payment processing services intended for online service operators that require transaction handling for goods and digital content</t>
  </si>
  <si>
    <t>Acre</t>
  </si>
  <si>
    <t>ClearScore</t>
  </si>
  <si>
    <t>Developer of a cloud-based mortgage management software designed to streamline the home-buying process</t>
  </si>
  <si>
    <t>Aviva Ventures</t>
  </si>
  <si>
    <t>Cubby</t>
  </si>
  <si>
    <t>Goldman Sachs Growth</t>
  </si>
  <si>
    <t>Developer of a self-storage platform designed to make growth simple</t>
  </si>
  <si>
    <t>Gridline</t>
  </si>
  <si>
    <t>FINTOP</t>
  </si>
  <si>
    <t>Turnkey alternatives management platform for advisory firms</t>
  </si>
  <si>
    <t>Matrisk</t>
  </si>
  <si>
    <t>Akur8</t>
  </si>
  <si>
    <t>Developer of an artificial intelligence-driven regulatory data processing platform focused on insurance filings and compliance</t>
  </si>
  <si>
    <t>Lunar</t>
  </si>
  <si>
    <t>100A</t>
  </si>
  <si>
    <t>Denmark</t>
  </si>
  <si>
    <t>Developer of a digital banking application designed to facilitate online money transfers and payments</t>
  </si>
  <si>
    <t>Envoice</t>
  </si>
  <si>
    <t>Scoro</t>
  </si>
  <si>
    <t>Estonia</t>
  </si>
  <si>
    <t>Developer of an expense management platform designed to help businesses and accounting firms streamline pre-accounting processes</t>
  </si>
  <si>
    <t>Hg Capital</t>
  </si>
  <si>
    <t>Cymbio</t>
  </si>
  <si>
    <t>PayPal</t>
  </si>
  <si>
    <t>Operator of an online software platform intended to connect brands with their retail partners on a real-time basis</t>
  </si>
  <si>
    <t>Atlas</t>
  </si>
  <si>
    <t>Remote</t>
  </si>
  <si>
    <t>Expense management fintech based in San Francisco</t>
  </si>
  <si>
    <t>Aquilance</t>
  </si>
  <si>
    <t>Ten Coves Capital</t>
  </si>
  <si>
    <t>Provides personal financial management and administrative services specifically designed for ultra high net worth families and family offices</t>
  </si>
  <si>
    <t>Tutman</t>
  </si>
  <si>
    <t>Pollen Street Capital</t>
  </si>
  <si>
    <t>Fund services platform providing fund administration, corporate service, and transfer agency services to institutional investors, wealth managers and family offices</t>
  </si>
  <si>
    <t>GLAS</t>
  </si>
  <si>
    <t>Oakley Capital</t>
  </si>
  <si>
    <t>Non-bank loan agency and corporate trustee marketplace headquartered in London, United Kingdom</t>
  </si>
  <si>
    <t>Memcyco</t>
  </si>
  <si>
    <t>NAventures</t>
  </si>
  <si>
    <t>Developer of a cybersecurity platform designed to protect businesses from account takeovers, phishing, and digital impersonation</t>
  </si>
  <si>
    <t>Fulcrum</t>
  </si>
  <si>
    <t>CRV</t>
  </si>
  <si>
    <t>Operator of artificial intelligence-based process automation software intended for insurance brokerages and agencies to reduce manual work and improve accuracy</t>
  </si>
  <si>
    <t>Rogo Technologies</t>
  </si>
  <si>
    <t>Developer of an analytics platform designed to utilize natural language processing to transform traditional data workflows</t>
  </si>
  <si>
    <t>Dragonfly Capital</t>
  </si>
  <si>
    <t>Digital asset payments network</t>
  </si>
  <si>
    <t>Carne Group</t>
  </si>
  <si>
    <t>Permira</t>
  </si>
  <si>
    <t>Europe’s largest independent third-party management company and a leading provider of fund regulation and governance solutions</t>
  </si>
  <si>
    <t>1741 Group</t>
  </si>
  <si>
    <t>Nordic Capital</t>
  </si>
  <si>
    <t>Switzerland</t>
  </si>
  <si>
    <t xml:space="preserve">provider of fund structuring, administration, and investment management services intended to support the launch and ongoing operation of collective investment vehicles </t>
  </si>
  <si>
    <t>Zocks</t>
  </si>
  <si>
    <t>Lightspeed, QED</t>
  </si>
  <si>
    <t>Zocks offers an AI-powered assistant for financial advisors</t>
  </si>
  <si>
    <t>AIG Classic</t>
  </si>
  <si>
    <t>TeamSystem</t>
  </si>
  <si>
    <t>Spain</t>
  </si>
  <si>
    <t>Developer of enterprise management and accounting software designed to support business operations</t>
  </si>
  <si>
    <t>Slice Global</t>
  </si>
  <si>
    <t>Insight Partners</t>
  </si>
  <si>
    <t>Slice Global Equity is an AI-native global equity compliance and management platform for multinational companies</t>
  </si>
  <si>
    <t>Outtake</t>
  </si>
  <si>
    <t>ICONIQ Growth</t>
  </si>
  <si>
    <t>Outtake is a security and fraud prevention platform that combats AI-driven impersonation, helping security teams detect, investigate, and disrupt identity-based threats as coordinated campaigns rather than isolated incidents</t>
  </si>
  <si>
    <t>Sixfold</t>
  </si>
  <si>
    <t>Brewer Lane</t>
  </si>
  <si>
    <t>Sixfold offers AI-driven underwriting capabilities to automate and augment underwriting workflows for P&amp;C insurers</t>
  </si>
  <si>
    <t>Fieldguide</t>
  </si>
  <si>
    <t>Goldman Sachs Asset Management</t>
  </si>
  <si>
    <t>Developer of cloud-based automation and collaboration software designed for audit and advisory firms, digitizing the end-to-end project lifecycle</t>
  </si>
  <si>
    <t>Varo Bank</t>
  </si>
  <si>
    <t>Warburg Pincus</t>
  </si>
  <si>
    <t>Developer of a financial platform designed to improve the mobile banking experience</t>
  </si>
  <si>
    <t>Talos Group</t>
  </si>
  <si>
    <t>Developer of a crypto trading platform designed to provide a full trading lifecycle, from price discovery through to clearing and settlement</t>
  </si>
  <si>
    <t>Artificial Labs</t>
  </si>
  <si>
    <t>CommerzVentures</t>
  </si>
  <si>
    <t>Developer of a digital platform designed to help insurers digitize processes and leverage machine learning</t>
  </si>
  <si>
    <t>Robinhood</t>
  </si>
  <si>
    <t>Concourse</t>
  </si>
  <si>
    <t>Standard Capital</t>
  </si>
  <si>
    <t>Developer of an artificial intelligence-powered financial platform designed to offer treasury management services and automate manual treasury workflows</t>
  </si>
  <si>
    <t>TRM Labs</t>
  </si>
  <si>
    <t>Blockchain Capital</t>
  </si>
  <si>
    <t>Developer of a regulatory technology platform designed to address compliance in the cryptocurrency industry</t>
  </si>
  <si>
    <t>Neo Financial</t>
  </si>
  <si>
    <t>Caldwell Growth</t>
  </si>
  <si>
    <t>Canadian FinTech company focused on building digital-first financial products for consumers</t>
  </si>
  <si>
    <t>Indigo</t>
  </si>
  <si>
    <t>Rubicon Founders</t>
  </si>
  <si>
    <t>A vertically integrated, AI-driven medical professional liability platform</t>
  </si>
  <si>
    <t>PayByPhone</t>
  </si>
  <si>
    <t>Corpay</t>
  </si>
  <si>
    <t>Lightyear Capital</t>
  </si>
  <si>
    <t>Offers a cashless parking platform that lets drivers pay and manage parking from their phone</t>
  </si>
  <si>
    <t>Limina</t>
  </si>
  <si>
    <t>Arcesium</t>
  </si>
  <si>
    <t>Sweden</t>
  </si>
  <si>
    <t>Developer of a cloud-native investment management platform designed to support and help optimize workflows</t>
  </si>
  <si>
    <t>Dimensa</t>
  </si>
  <si>
    <t>Evertec</t>
  </si>
  <si>
    <t>Brazil</t>
  </si>
  <si>
    <t>Developer of digital financial solutions catering to the fintech sector</t>
  </si>
  <si>
    <t>Newfront</t>
  </si>
  <si>
    <t>Willis Towers Watson</t>
  </si>
  <si>
    <t>Developer of an insurance brokerage technology intended to assist businesses in purchasing insurance packages based on insight-based recommendations</t>
  </si>
  <si>
    <t>Worldpay</t>
  </si>
  <si>
    <t>Global Payments</t>
  </si>
  <si>
    <t>Operator of an electronic payment and banking platform intended to deliver a one-stop-shop payments solution to omni commerce merchants</t>
  </si>
  <si>
    <t>Total System Services</t>
  </si>
  <si>
    <t>Fidelity National</t>
  </si>
  <si>
    <t>Developer of a global payments platform intended to deliver a smarter and more secure payment platform</t>
  </si>
  <si>
    <t>Testimonial iQ</t>
  </si>
  <si>
    <t>FMG</t>
  </si>
  <si>
    <t>Developer of a reputation management platform intended to collect and display customer testimonials</t>
  </si>
  <si>
    <t>CQG</t>
  </si>
  <si>
    <t>Broadridge</t>
  </si>
  <si>
    <t>Developer of electronic trading software intended for the financial trading industry</t>
  </si>
  <si>
    <t>ParaFi</t>
  </si>
  <si>
    <t>Jupiter</t>
  </si>
  <si>
    <t>BVI</t>
  </si>
  <si>
    <t>Developer of a decentralized exchange platform designed for cryptocurrency aggregation</t>
  </si>
  <si>
    <t>Turnstile</t>
  </si>
  <si>
    <t>First Round Capital</t>
  </si>
  <si>
    <t>Developer of a revenue automation platform designed to simplify complex quote-to-cash workflows and meet pricing and operational needs without compromising efficiency</t>
  </si>
  <si>
    <t>Accrual</t>
  </si>
  <si>
    <t>General Catalyst</t>
  </si>
  <si>
    <t>Developer of an AI-powered accounting and tax workflow automation platform designed for professional accounting firms and finance teams</t>
  </si>
  <si>
    <t>Duna</t>
  </si>
  <si>
    <t>CapitalG</t>
  </si>
  <si>
    <t>Developer of a compliance management platform designed to automate manual work and business onboarding</t>
  </si>
  <si>
    <t>Journey Technology Solutions</t>
  </si>
  <si>
    <t>Abrigo</t>
  </si>
  <si>
    <t>Provider of data analytics and information services intended to serve community financial institutions</t>
  </si>
  <si>
    <t>Tapi</t>
  </si>
  <si>
    <t>Kaszek</t>
  </si>
  <si>
    <t>Developer of a fintech platform designed to facilitate billing transactions</t>
  </si>
  <si>
    <t>Blue EMI</t>
  </si>
  <si>
    <t>Checkout.com</t>
  </si>
  <si>
    <t>Provider of licensed e-money and digital payment services intended to support SMEs, crowdfunding platforms, and e-commerce businesses</t>
  </si>
  <si>
    <t>Kindred</t>
  </si>
  <si>
    <t xml:space="preserve">NEA </t>
  </si>
  <si>
    <t xml:space="preserve">Kindred is a global, members-only home swapping platform of 300,000 members that allows verified members to swap homes </t>
  </si>
  <si>
    <t>iCapital</t>
  </si>
  <si>
    <t>Passthrough</t>
  </si>
  <si>
    <t>Specialized platform desinged to streamline fund admin processes, particularly focusing on investor onboarding and compliance</t>
  </si>
  <si>
    <t>Stash Financial</t>
  </si>
  <si>
    <t>Grab Holdings</t>
  </si>
  <si>
    <t>Developer of a personal finance application designed to make savings and investments accessible to everyone</t>
  </si>
  <si>
    <t>UPTIQ</t>
  </si>
  <si>
    <t>Curql</t>
  </si>
  <si>
    <t>Developer of an AI agent platform designed to automate and optimize financial services workflows across lending, digital banking, and wealth management</t>
  </si>
  <si>
    <t>Chimney</t>
  </si>
  <si>
    <t>Array</t>
  </si>
  <si>
    <t>Developer of an embedded financial platform designed to help any homeowner with a mortgage, make proper financial decisions through personalized recommendations</t>
  </si>
  <si>
    <t>ISS Stoxx</t>
  </si>
  <si>
    <t>Deutsche Borse</t>
  </si>
  <si>
    <t>Provider of research and technology services intended to serve the investment management and capital markets industry</t>
  </si>
  <si>
    <t>General Atlantic</t>
  </si>
  <si>
    <t>Bound</t>
  </si>
  <si>
    <t xml:space="preserve">AlbionVC </t>
  </si>
  <si>
    <t>Developer of a foreign exchange platform designed for risk management</t>
  </si>
  <si>
    <t>Circit</t>
  </si>
  <si>
    <t>Developer of a financial audit management platform designed to connect banks, accounting firms, and clients during a financial audit</t>
  </si>
  <si>
    <t>Atto</t>
  </si>
  <si>
    <t>Wrisk</t>
  </si>
  <si>
    <t>Developer of global credit and risk platform designed to deliver intelligent insights from open banking data</t>
  </si>
  <si>
    <t>Bretton AI</t>
  </si>
  <si>
    <t>Sapphire Ventures</t>
  </si>
  <si>
    <t>Developer of an artificial intelligence compliance agent platform designed for financial crime investigations</t>
  </si>
  <si>
    <t>WorkFusion</t>
  </si>
  <si>
    <t>UiPath</t>
  </si>
  <si>
    <t>Developer of an intelligent automation platform designed for financial crime compliance</t>
  </si>
  <si>
    <t>Lassie</t>
  </si>
  <si>
    <t>Passion Capital</t>
  </si>
  <si>
    <t>Operator of digital pet insurance services intended to reduce the risk of injuries becoming threatening amid the financial crisis</t>
  </si>
  <si>
    <t>ManageMy</t>
  </si>
  <si>
    <t>Ventura Capital</t>
  </si>
  <si>
    <t>Developer of a financial platform designed to make insurance simple, transparent, and accessible</t>
  </si>
  <si>
    <t>DiTRONICS Financial Services</t>
  </si>
  <si>
    <t>Pavilion Payments</t>
  </si>
  <si>
    <t>Provider of funds access and gaming financial technology services serving casino operators across</t>
  </si>
  <si>
    <t>Tembo</t>
  </si>
  <si>
    <t>Gresham House Asset Management</t>
  </si>
  <si>
    <t>Developer of an online residential mortgage platform designed to help first-time homebuyers</t>
  </si>
  <si>
    <t>Stake</t>
  </si>
  <si>
    <t>Emirates NBD Bank</t>
  </si>
  <si>
    <t>UAE</t>
  </si>
  <si>
    <t>Operator of a digital real estate investment platform intended to provide a transparent way to invest in rental properties</t>
  </si>
  <si>
    <t>mea</t>
  </si>
  <si>
    <t>Scottish Equity Partners</t>
  </si>
  <si>
    <t>Bermuda</t>
  </si>
  <si>
    <t>Developer of an artificial intelligence (AI)-powered intelligent processing platform designed to enable insurers the flexibility to scale capacity as needed, safely, securely, efficiently, and at speed</t>
  </si>
  <si>
    <t>Maxex</t>
  </si>
  <si>
    <t>Tradeweb</t>
  </si>
  <si>
    <t>Developer of a digital mortgage exchange platform designed to enable the buying and selling of residential loans between mortgage lenders and institutional investors</t>
  </si>
  <si>
    <t>Anchorage Digital</t>
  </si>
  <si>
    <t>Tether</t>
  </si>
  <si>
    <t>Digital asset platform and infra provider that deals in the holding, investing and infra for crypto products</t>
  </si>
  <si>
    <t>Tomorrow.io</t>
  </si>
  <si>
    <t>Stonecourt Capital</t>
  </si>
  <si>
    <t>Developer of a local weather forecasting platform designed to improve weather forecasting with new micro weather information</t>
  </si>
  <si>
    <t>Zepz</t>
  </si>
  <si>
    <t>Operator of a money transfer platform intended to make it easy to send money and stay up-to-date with family spending</t>
  </si>
  <si>
    <t>Coinme</t>
  </si>
  <si>
    <t>Polygon Labs</t>
  </si>
  <si>
    <t>Developer of a cryptocurrency platform designed to enhance access to digital currencies and promote a better financial future</t>
  </si>
  <si>
    <t>Alacrity Solutions</t>
  </si>
  <si>
    <t>KKR, Blackstone, New Mountain Capital</t>
  </si>
  <si>
    <t>Provider of property claims management and appraisal services intended to streamline the insurance claims process</t>
  </si>
  <si>
    <t>Obie</t>
  </si>
  <si>
    <t>The Baldwin Group</t>
  </si>
  <si>
    <t>Developer of an insurance and risk management platform intended to provide a simple, affordable and transparent insurance experience for landlords and real estate investors</t>
  </si>
  <si>
    <t>CRS Temporary Housing</t>
  </si>
  <si>
    <t>Ridgemont Equity Partners</t>
  </si>
  <si>
    <t>Provider of temporary housing services intended to meet the housing needs of insurance policyholders</t>
  </si>
  <si>
    <t>Reverence Capital</t>
  </si>
  <si>
    <t>ClearGov</t>
  </si>
  <si>
    <t>Lead Edge Capital</t>
  </si>
  <si>
    <t>Developer of a financial reporting platform designed to assist in annual budgeting</t>
  </si>
  <si>
    <t>Sirion</t>
  </si>
  <si>
    <t>Haveli Investments</t>
  </si>
  <si>
    <t>Developer of a contract management platform designed for enterprise supplier management</t>
  </si>
  <si>
    <t>MEWS</t>
  </si>
  <si>
    <t>EQT</t>
  </si>
  <si>
    <t>Developer of a property management platform designed to automate operations and democratize knowledge around the hotel technology ecosystem</t>
  </si>
  <si>
    <t>Swap</t>
  </si>
  <si>
    <t>Operator of a product return platform intended for automation, shipping, and returns through instant exchange technology</t>
  </si>
  <si>
    <t>DST Global, ICONIQ Growth</t>
  </si>
  <si>
    <t>Barings</t>
  </si>
  <si>
    <t>Mal</t>
  </si>
  <si>
    <t>BlueFive Capital</t>
  </si>
  <si>
    <t>Abu Dhabi</t>
  </si>
  <si>
    <t>Developer of a digital platform designed to streamline banking operations</t>
  </si>
  <si>
    <t>Mesh</t>
  </si>
  <si>
    <t>Gyde</t>
  </si>
  <si>
    <t xml:space="preserve">Lightspeed </t>
  </si>
  <si>
    <t>Developer of an artificial intelligence-native insurance brokerage platform designed to help insurance agencies scale while maintaining client service quality</t>
  </si>
  <si>
    <t>Igloo</t>
  </si>
  <si>
    <t>Tokio Marine &amp; Nichido Fire Insurance</t>
  </si>
  <si>
    <t>Operator of a full-stack insurance technology platform intended to make insurance accessible for all</t>
  </si>
  <si>
    <t>DealHub</t>
  </si>
  <si>
    <t>Riverwood Capital</t>
  </si>
  <si>
    <t>Developer of a cloud-based sales engagement platform designed to improve enterprise sales execution</t>
  </si>
  <si>
    <t>Jump</t>
  </si>
  <si>
    <t>Developer of an artificial intelligence-based note-taking tool designed for financial advisors</t>
  </si>
  <si>
    <t>Context Analytics</t>
  </si>
  <si>
    <t>BridgeWise</t>
  </si>
  <si>
    <t>Provider of unstructured financial data intended to offer actionable intelligence on publicly traded companies before their stocks move</t>
  </si>
  <si>
    <t>Avantos</t>
  </si>
  <si>
    <t>An artificial intelligence (“AI”)-native operating system built to reimagine how financial institutions onboard and service clients</t>
  </si>
  <si>
    <t>Vestwell</t>
  </si>
  <si>
    <t>Sixth Street</t>
  </si>
  <si>
    <t>Provider of workplace savings and retirement plan administration services intended to expand access to employer-sponsored financial programs</t>
  </si>
  <si>
    <t>Ascent</t>
  </si>
  <si>
    <t>Undisclosed</t>
  </si>
  <si>
    <t>Uala</t>
  </si>
  <si>
    <t>A provider of innovative financial products and student support services</t>
  </si>
  <si>
    <t>Provider of digital financial services intended for the purpose of expanding access to banking and financial tools in Latin America</t>
  </si>
  <si>
    <t>Allianz X</t>
  </si>
  <si>
    <t>Stacks</t>
  </si>
  <si>
    <t>Lightspeed</t>
  </si>
  <si>
    <t>Developer of an AI-powered finance and collaboration platform designed for monthly reporting of financial results</t>
  </si>
  <si>
    <t>IDfy</t>
  </si>
  <si>
    <t>Neo Asset Management</t>
  </si>
  <si>
    <t>Developer of a fraud detection platform designed to make compliance procedures easier</t>
  </si>
  <si>
    <t>VulnCheck</t>
  </si>
  <si>
    <t>Sorenson Capital</t>
  </si>
  <si>
    <t>Developer of a cyber threat intelligence platform designed to help organizations outpace adversaries</t>
  </si>
  <si>
    <t>Madfu</t>
  </si>
  <si>
    <t>Afaq Capital</t>
  </si>
  <si>
    <t>Saudi</t>
  </si>
  <si>
    <t>Developer of a financial platform designed to offer buy now, pay later (BNPL) services</t>
  </si>
  <si>
    <t>Ownwell</t>
  </si>
  <si>
    <t>Alpha Edison</t>
  </si>
  <si>
    <t>Provider of property tax management services intended to help homeowners save money on their property taxes</t>
  </si>
  <si>
    <t>Basis</t>
  </si>
  <si>
    <t>Accel</t>
  </si>
  <si>
    <t>Developer of an artificial intelligence-based accounting assistant software intended to offer accounting automation agents</t>
  </si>
  <si>
    <t>XFlow</t>
  </si>
  <si>
    <t>Developer of cross-border payments software intended to simplify and speed up inward payment flows for businesses across the world</t>
  </si>
  <si>
    <t>AtData</t>
  </si>
  <si>
    <t>Experian</t>
  </si>
  <si>
    <t>Provider of email marketing intelligence services committed to helping companies take control of their first-party email data collection, accelerate their marketing performance and reduce the cost of fraud</t>
  </si>
  <si>
    <t>TZP Group</t>
  </si>
  <si>
    <t>Yendo</t>
  </si>
  <si>
    <t>Operator of a credit card platform intended to provide an asset-backed credit product</t>
  </si>
  <si>
    <t>Payra</t>
  </si>
  <si>
    <t>Edison Partners</t>
  </si>
  <si>
    <t>Developer of an invoicing and collections platform designed to help businesses get paid on time and manage accounts receivable efficiently</t>
  </si>
  <si>
    <t>Pine Advisor Solutions</t>
  </si>
  <si>
    <t>Centralis</t>
  </si>
  <si>
    <t>Provider of regulatory compliance, fund administration, and distribution support services designed to enable asset managers to navigate investment fund regulatory environments</t>
  </si>
  <si>
    <t>Delio</t>
  </si>
  <si>
    <t>Developer of an investment platform designed to help financial institutions connect their high-net-worth (HNW) clients with the private markets</t>
  </si>
  <si>
    <t>Penny Finance</t>
  </si>
  <si>
    <t>Developer of an online financial mentorship platform designed for women to get their money, debt, and investing questions answered through a tool</t>
  </si>
  <si>
    <t>InvestEdge</t>
  </si>
  <si>
    <t>Docupace</t>
  </si>
  <si>
    <t>Developer of a web-based integrated platform designed to provide wealth management services</t>
  </si>
  <si>
    <t>Featheringill Capital</t>
  </si>
  <si>
    <t>Allica Bank</t>
  </si>
  <si>
    <t>TCV</t>
  </si>
  <si>
    <t>Operator of a digital business bank intended to serve and support small and medium businesses and empower them to succeed</t>
  </si>
  <si>
    <t>Eventus</t>
  </si>
  <si>
    <t>Terminus Capital</t>
  </si>
  <si>
    <t>Developer of global trade surveillance and market risk platform intended to offer safer financial services for high-value securities trading</t>
  </si>
  <si>
    <t>Rowspace</t>
  </si>
  <si>
    <t>Sequoia, Emergence Capital</t>
  </si>
  <si>
    <t>Developer of an AI-native research workspace designed to compound investment firms' proprietary research edge</t>
  </si>
  <si>
    <t>Plaid</t>
  </si>
  <si>
    <t>Developer of a data network programming platform designed to assist in connecting fintech applications with traditional bank accounts</t>
  </si>
  <si>
    <t>Harper</t>
  </si>
  <si>
    <t>Emergence Equity</t>
  </si>
  <si>
    <t>Provider of insurance services intended to protect businesses and manage risks</t>
  </si>
  <si>
    <t>Vantager</t>
  </si>
  <si>
    <t>MSCI</t>
  </si>
  <si>
    <t>Developer of an investment platform designed to monitor the performance of the portfolio</t>
  </si>
  <si>
    <t>BoxOne Ventures</t>
  </si>
  <si>
    <t>360 View</t>
  </si>
  <si>
    <t>Developer of customer experience management software designed for banks and credit unions</t>
  </si>
  <si>
    <t>Tapline</t>
  </si>
  <si>
    <t>Flowpay</t>
  </si>
  <si>
    <t>Operator of a trading platform intended to assist companies with recurring revenues to receive non-dilutive, non-debt funding</t>
  </si>
  <si>
    <t>Crossover Markets</t>
  </si>
  <si>
    <t>Tradeweb Markets</t>
  </si>
  <si>
    <t>Developer of a digital asset exchange platform designed to meet the liquidity needs of institutional clients</t>
  </si>
  <si>
    <t>Finley Technologies</t>
  </si>
  <si>
    <t>Concord</t>
  </si>
  <si>
    <t>Developer of debt management software designed to simplify capital raising and management</t>
  </si>
  <si>
    <t>Evervault</t>
  </si>
  <si>
    <t>Ribbit Capital</t>
  </si>
  <si>
    <t>Developer of a payments security platform designed to protect and process sensitive payment data within applications</t>
  </si>
  <si>
    <t>Silverflow</t>
  </si>
  <si>
    <t>Picus Capital</t>
  </si>
  <si>
    <t>Developer of a cloud-based payments platform designed to provide direct card-network access to payment service providers</t>
  </si>
  <si>
    <t>Rent2Cash</t>
  </si>
  <si>
    <t>Italy</t>
  </si>
  <si>
    <t>Developer of a rental management platform designed for landlords to monetize rents</t>
  </si>
  <si>
    <t>GeoWealth</t>
  </si>
  <si>
    <t>GS Asset Management</t>
  </si>
  <si>
    <t>Developer of a turnkey asset management platform (TAMP) designed for registered investment advisors (RIA's)</t>
  </si>
  <si>
    <t>Upvest</t>
  </si>
  <si>
    <t>Tencent Holdings</t>
  </si>
  <si>
    <t>Developer of an Investment API designed to empower financial institutions to offer investment products in their app with a modular, scalable and accessible alternative</t>
  </si>
  <si>
    <t>Fuse</t>
  </si>
  <si>
    <t>Primary Venture Partners</t>
  </si>
  <si>
    <t>Developer of a loan origination and account opening software platform designed for financial institutions to manage lending and customer onboarding processes</t>
  </si>
  <si>
    <t>TradingHub</t>
  </si>
  <si>
    <t>Developer of financial software intended to provide trade data analytics to the financial services industry</t>
  </si>
  <si>
    <t>Nimbello</t>
  </si>
  <si>
    <t>PairSoft</t>
  </si>
  <si>
    <t>Developer of an accounting software designed to automate purchase order-based invoices</t>
  </si>
  <si>
    <t>Relevance Ventures</t>
  </si>
  <si>
    <t>Candex</t>
  </si>
  <si>
    <t>HSBC Holdings</t>
  </si>
  <si>
    <t>Developer of enterprise procurement workflow software designed for managing tail spend and vendor payments</t>
  </si>
  <si>
    <t>Cloaked</t>
  </si>
  <si>
    <t>Developer of personalized privacy software designed to create unlimited identities and privacy protection for online and travel</t>
  </si>
  <si>
    <t>Asymmetric Information</t>
  </si>
  <si>
    <t>MG Stover</t>
  </si>
  <si>
    <t>AI-powered portfolio and risk analytics firm serving institutional crypto investors</t>
  </si>
  <si>
    <t>Azos</t>
  </si>
  <si>
    <t xml:space="preserve">Bradesco </t>
  </si>
  <si>
    <t>Brazilian InsurTech focused on individual life insurance</t>
  </si>
  <si>
    <t>Hexure</t>
  </si>
  <si>
    <t xml:space="preserve">iCapital </t>
  </si>
  <si>
    <t>Developer of point-of-sale illustration software intended for the insurance and financial services industries</t>
  </si>
  <si>
    <t>THL</t>
  </si>
  <si>
    <t>Slope</t>
  </si>
  <si>
    <t>Developer of an actuarial modeling platform designed to simplify and facilitate financial projection modeling using only a web browser</t>
  </si>
  <si>
    <t>Brahma</t>
  </si>
  <si>
    <t>Polymarket</t>
  </si>
  <si>
    <t>Developer of a financial orchestration platform designed to connect on-chain logic with traditional financial systems</t>
  </si>
  <si>
    <t>MetaComp</t>
  </si>
  <si>
    <t>Spark Ventures</t>
  </si>
  <si>
    <t>Developer of a licensed fiat and stablecoin hybrid platform designed to provide compliant payment and wealth management services</t>
  </si>
  <si>
    <t>TheGuarantors</t>
  </si>
  <si>
    <t>Operator of a rental coverage platform intended to provide risk and financial services for the real estate ecosystem</t>
  </si>
  <si>
    <t>Uzum</t>
  </si>
  <si>
    <t>Uzbekistan</t>
  </si>
  <si>
    <t>Operator of an integrated digital services platform intended for commerce, financial access, and mobility across urban and rural Uzbekistan</t>
  </si>
  <si>
    <t>PactFi</t>
  </si>
  <si>
    <t>7RIDGE</t>
  </si>
  <si>
    <t>Developer of a fintech platform designed to transform the infrastructure on which the private asset market operates</t>
  </si>
  <si>
    <t>ORO Labs</t>
  </si>
  <si>
    <t>Brighton Park Capital</t>
  </si>
  <si>
    <t>Developer of a procurement orchestration company designed to humanize the procurement experience by coordinating teams, systems, and processes</t>
  </si>
  <si>
    <t>Cryptio</t>
  </si>
  <si>
    <t>BlackFin Capital</t>
  </si>
  <si>
    <t>Developer of a bookkeeping software designed for transforming digital asset data</t>
  </si>
  <si>
    <t>Monite</t>
  </si>
  <si>
    <t>OakNorth</t>
  </si>
  <si>
    <t>Developer of financial management software designed to automate accounting and admin tasks</t>
  </si>
  <si>
    <t>Jazz</t>
  </si>
  <si>
    <t>Glilot Capital</t>
  </si>
  <si>
    <t>Cybersecurity startup focused on transforming DLP into an AI-driven intelligence platform that understands how corporate data is used</t>
  </si>
  <si>
    <t>Armadin</t>
  </si>
  <si>
    <t>Developer of a cybersecurity platform designed to detect and verify vulnerabilities automatically</t>
  </si>
  <si>
    <t>Alan</t>
  </si>
  <si>
    <t>Developer of an online digital insurance platform designed to simplify access to corporate insurance</t>
  </si>
  <si>
    <t>Trellis</t>
  </si>
  <si>
    <t>Gen Digital</t>
  </si>
  <si>
    <t>Developer of a fintech platform designed to simplify the exchange of personal insurance information and support more efficient insurance selection processes</t>
  </si>
  <si>
    <t>Billhop</t>
  </si>
  <si>
    <t>Ramp</t>
  </si>
  <si>
    <t>Developer of a financial payment platform designed to simplify the payment and management of bills</t>
  </si>
  <si>
    <t>Kast</t>
  </si>
  <si>
    <t>QED Investors</t>
  </si>
  <si>
    <t>Seychelles</t>
  </si>
  <si>
    <t>Operator of a neo-bank platform intended to reduce friction in making international payments by bypassing traditional banking networks</t>
  </si>
  <si>
    <t xml:space="preserve">Pinch Financial </t>
  </si>
  <si>
    <t>Operator of a digital mortgage platform intended to help both real estate and mortgage brokers to automate and accelerate the borrower qualification process</t>
  </si>
  <si>
    <t>RBC</t>
  </si>
  <si>
    <t>M3 Financial</t>
  </si>
  <si>
    <t>Vinovest</t>
  </si>
  <si>
    <t>StartEngine</t>
  </si>
  <si>
    <t>Developer of an alternative assets platform designed to help retail investors invest in fine wine</t>
  </si>
  <si>
    <t>Worth</t>
  </si>
  <si>
    <t>Fulcrum Equity Partners</t>
  </si>
  <si>
    <t>Developer of a patent-pending platform designed to offer risk management and business valuation expertise</t>
  </si>
  <si>
    <t>LTi Technology Solutions</t>
  </si>
  <si>
    <t>Diversis Capital</t>
  </si>
  <si>
    <t>Developer of equipment finance and leasing software solutions intended to provide lease and loan management</t>
  </si>
  <si>
    <t>Startale</t>
  </si>
  <si>
    <t>Sony Innovation Fund</t>
  </si>
  <si>
    <t>Developer of blockchain infrastructure designed for decentralized application deployment</t>
  </si>
  <si>
    <t>Adonis</t>
  </si>
  <si>
    <t>Quadrille Capital</t>
  </si>
  <si>
    <t>Developer of healthcare revenue intelligence and automation platform designed to streamline revenue cycle management and optimize financial success for medical providers</t>
  </si>
  <si>
    <t>Glimpse</t>
  </si>
  <si>
    <t>Andreessen Horowitz</t>
  </si>
  <si>
    <t>Developer of an automated deduction-handling platform designed to optimize financial reconciliation workflows</t>
  </si>
  <si>
    <t>Doss</t>
  </si>
  <si>
    <t>Premj Invest</t>
  </si>
  <si>
    <t>Developer of enterprise operations software designed to manage and automate core business processes across finance, supply chain, and data management</t>
  </si>
  <si>
    <t>Spade Data</t>
  </si>
  <si>
    <t>Oak HC/FT</t>
  </si>
  <si>
    <t>Developer of card transaction infrastructure designed to create applications, mission-critical systems, and access rich data without investing in data cleaning</t>
  </si>
  <si>
    <t>Andesa</t>
  </si>
  <si>
    <t>Provider of software-as-a-service offerings intended for top and mid-tier life and annuity carriers, as well as distributors and brokers</t>
  </si>
  <si>
    <t>Notch</t>
  </si>
  <si>
    <t>Lightspeed Ventures</t>
  </si>
  <si>
    <t>Provider of insurance services intended for the protection of digital assets</t>
  </si>
  <si>
    <t>Shepherd</t>
  </si>
  <si>
    <t>Intact Ventures</t>
  </si>
  <si>
    <t>Operator of a commercial insurance and risk management platform designed for the construction and renewable energy industries</t>
  </si>
  <si>
    <t>Cents</t>
  </si>
  <si>
    <t>Sumeru Equity</t>
  </si>
  <si>
    <t>Developer of laundromat management software intended to help laundry and garment care businesses streamline operations</t>
  </si>
  <si>
    <t>Tazapay</t>
  </si>
  <si>
    <t>Developer of a global payments platform designed to streamline cross-border money movement for businesses</t>
  </si>
  <si>
    <t>Orda</t>
  </si>
  <si>
    <t>Moniepoint</t>
  </si>
  <si>
    <t>Developer of an operating platform designed to streamline food business operations, from order processing to customer engagement</t>
  </si>
  <si>
    <t>WiredScore</t>
  </si>
  <si>
    <t>Meter</t>
  </si>
  <si>
    <t>Provider of real estate technology services designed to provide a digital connectivity rating system for commercial real estate buildings</t>
  </si>
  <si>
    <t>PropertyChecklists</t>
  </si>
  <si>
    <t>National Landlord Investment</t>
  </si>
  <si>
    <t>Operator of a property advice platform intended to serve landlords, tenants, buyers, sellers, and investors</t>
  </si>
  <si>
    <t>Own Up</t>
  </si>
  <si>
    <t>Operator of a concierge-driven home loan marketplace intended to help clients find mortgages and lenders</t>
  </si>
  <si>
    <t>Structurely</t>
  </si>
  <si>
    <t>CapStone Holdings Inc.</t>
  </si>
  <si>
    <t>An artificial intelligence-powered sales engagement company</t>
  </si>
  <si>
    <t>Newpay</t>
  </si>
  <si>
    <t>Visa</t>
  </si>
  <si>
    <t>Developer of a payment connectivity platform designed to link banks and fintechs to the instant transfers and digital payments ecosystem</t>
  </si>
  <si>
    <t>Advent International</t>
  </si>
  <si>
    <t>Kubo.financiero</t>
  </si>
  <si>
    <t>Credito Maestro</t>
  </si>
  <si>
    <t>Mexico</t>
  </si>
  <si>
    <t>Developer of a digitally regulated finance platform designed to offer multi-product financial services</t>
  </si>
  <si>
    <t>Step Mobile</t>
  </si>
  <si>
    <t>Beast Industries</t>
  </si>
  <si>
    <t>Operator of a mobile fintech platform intended to provide financial tools for modern banking</t>
  </si>
  <si>
    <t>Dome</t>
  </si>
  <si>
    <t>Developer of a unified API platform designed to simplify access, analysis, and deployment on prediction markets</t>
  </si>
  <si>
    <t>Captide</t>
  </si>
  <si>
    <t>Model ML</t>
  </si>
  <si>
    <t>Developer of cloud-based application programming interfaces and automated financial data extraction systems intended for the transformation of unstructured corporate disclosures into machine-readable datasets</t>
  </si>
  <si>
    <t>Lyra Client Solutions</t>
  </si>
  <si>
    <t>Alchelyst</t>
  </si>
  <si>
    <t>Apollo, Motive</t>
  </si>
  <si>
    <t>Provider of client services for private markets investors intended for institutional, global wealth, and family office channels</t>
  </si>
  <si>
    <t>OpenFX</t>
  </si>
  <si>
    <t>Developer of a foreign exchange infrastructure platform designed to support real-time cross-border transfers for financial services</t>
  </si>
  <si>
    <t>9fin</t>
  </si>
  <si>
    <t>HarbourVest Partners</t>
  </si>
  <si>
    <t>Developer of an artificial intelligence-powered data and analytics platform designed to centralize everything that's needed to analyze a credit</t>
  </si>
  <si>
    <t>Circle Ventures</t>
  </si>
  <si>
    <t>FX Transparency</t>
  </si>
  <si>
    <t>ACA Group</t>
  </si>
  <si>
    <t>Provider of foreign exchange transaction cost analysis (FX TCA) services intended to serve institutional investors</t>
  </si>
  <si>
    <t>Droit</t>
  </si>
  <si>
    <t>Developer of a regulatory compliance platform designed to automate global regulatory compliance and real-time controls</t>
  </si>
  <si>
    <t>FIS</t>
  </si>
  <si>
    <t>StandardFusion</t>
  </si>
  <si>
    <t>Wolters Kluwer</t>
  </si>
  <si>
    <t>Developer of compliance tracking software designed to centralize complex organizational governance by integrating multiple diverse regulatory frameworks</t>
  </si>
  <si>
    <t>thinkFolio</t>
  </si>
  <si>
    <t>Provides portfolio modelling and order management software</t>
  </si>
  <si>
    <t>S&amp;P Global</t>
  </si>
  <si>
    <t>OrboGraph</t>
  </si>
  <si>
    <t>Kinective</t>
  </si>
  <si>
    <t>Developer of a data processing and recognition software catering to financial institutions</t>
  </si>
  <si>
    <t xml:space="preserve"> </t>
  </si>
  <si>
    <t>Clearwater Analytics</t>
  </si>
  <si>
    <t>Premira, Warburg Pincus</t>
  </si>
  <si>
    <t>Clearwater Analytics provides cloud-native investment accounting, reporting and analytics solutions to institutional investors, asset managers and insurers</t>
  </si>
  <si>
    <t>OpenGamma</t>
  </si>
  <si>
    <t>Trading Technologies</t>
  </si>
  <si>
    <t>Derivatives / risk analytics</t>
  </si>
  <si>
    <t>Pairsoft</t>
  </si>
  <si>
    <t>TA Associates</t>
  </si>
  <si>
    <t>PairSoft offers a comprehensive suite of procure-to-pay (P2P) automation and payment solutions that streamline accounts payable, procurement, payment and document management workflows for mid-market and enterprise organizations globally</t>
  </si>
  <si>
    <t>Habito</t>
  </si>
  <si>
    <t>Monzo</t>
  </si>
  <si>
    <t>Developer of a digital mortgage platform designed to offer mortgage products from a range of lenders</t>
  </si>
  <si>
    <t>Thriday</t>
  </si>
  <si>
    <t>Tyro Payments</t>
  </si>
  <si>
    <t>Developer of business banking account management software designed for automating banking and accounting functions for small businesses</t>
  </si>
  <si>
    <t>GoCardless</t>
  </si>
  <si>
    <t>Mobile</t>
  </si>
  <si>
    <t>Developer of an account-to-account payments platform designed to collect recurring payments from customers</t>
  </si>
  <si>
    <t>kACE Financial</t>
  </si>
  <si>
    <t>SmartTrade</t>
  </si>
  <si>
    <t>Provider of pricing and analytics services intended for financial institutions</t>
  </si>
  <si>
    <t>FENICS Software</t>
  </si>
  <si>
    <t>PropertyMe</t>
  </si>
  <si>
    <t>Developer of property management software designed to service the evolving needs of the modern property manager</t>
  </si>
  <si>
    <t>--</t>
  </si>
  <si>
    <t>Playter</t>
  </si>
  <si>
    <t>Shawbrook</t>
  </si>
  <si>
    <t>Developer of a business-to-business finance services platform designed to spread the cost of invoices over flexible monthly instalments</t>
  </si>
  <si>
    <t>Neighbourlytics</t>
  </si>
  <si>
    <t>REA Group</t>
  </si>
  <si>
    <t>Developer of a community knowledge and social analytics software designed to provide location data and community lifestyle analytics</t>
  </si>
  <si>
    <t>FarPay</t>
  </si>
  <si>
    <t>POM</t>
  </si>
  <si>
    <t>Developer of automated invoicing and payment management services intended to streamline financial operations</t>
  </si>
  <si>
    <t>FirstList</t>
  </si>
  <si>
    <t>myAbode</t>
  </si>
  <si>
    <t>Operator of a pre-market real estate platform intended for sharing and finding property listings before they go live on public listing services</t>
  </si>
  <si>
    <t>Shine</t>
  </si>
  <si>
    <t>Cegid</t>
  </si>
  <si>
    <t>Developer of an international financial marketplace intended for accounting, bookkeeping, and tax preparation services</t>
  </si>
  <si>
    <t>Finscape</t>
  </si>
  <si>
    <t>FE Fundinfo</t>
  </si>
  <si>
    <t>Provider of investment distribution market information services to D2C</t>
  </si>
  <si>
    <t>Fundscape</t>
  </si>
  <si>
    <t>PostCredit</t>
  </si>
  <si>
    <t>Usio</t>
  </si>
  <si>
    <t>Developer of a production expense management platform designed to streamline financial processes</t>
  </si>
  <si>
    <t>Better Tomorrow</t>
  </si>
  <si>
    <t>Compuflex</t>
  </si>
  <si>
    <t>Provider of global cash automation and cash-handling software designed to streamline cash operations for financial, retail, and gaming institutions</t>
  </si>
  <si>
    <t>Planky</t>
  </si>
  <si>
    <t>BNK301</t>
  </si>
  <si>
    <t>Developer of an open banking data aggregation and analytics platform designed to deliver financial insights to business providers</t>
  </si>
  <si>
    <t>W3C</t>
  </si>
  <si>
    <t>Exodus</t>
  </si>
  <si>
    <t>Provider of a payment technology service intended to enable electronic transactions globally</t>
  </si>
  <si>
    <t>Green Dot Corp.</t>
  </si>
  <si>
    <t>Smith Ventures, CommerceOne Financial</t>
  </si>
  <si>
    <t>Pro-consumer bank holding company and personal banking provider</t>
  </si>
  <si>
    <t>Vitech</t>
  </si>
  <si>
    <t>Majesco</t>
  </si>
  <si>
    <t>Developer of cloud-native pension and benefits administration software designed to address the needs of insurance, retirement and investment organizations</t>
  </si>
  <si>
    <t>CVC</t>
  </si>
  <si>
    <t>Mortgage Intelligence</t>
  </si>
  <si>
    <t>OneDome</t>
  </si>
  <si>
    <t>The company offers mortgage advice along with information on mortgage deals and mortgage sourcing systems</t>
  </si>
  <si>
    <t>Countrywide</t>
  </si>
  <si>
    <t>Connect&amp;Go</t>
  </si>
  <si>
    <t>Peek</t>
  </si>
  <si>
    <t>Developer of a radio frequency identification and integrated attractions management technology designed to offer guest experiences</t>
  </si>
  <si>
    <t>Pipedream</t>
  </si>
  <si>
    <t>Workday</t>
  </si>
  <si>
    <t>Developer of an integration platform designed to help developers connect application programming interfaces and build and execute workflows</t>
  </si>
  <si>
    <t>Curve</t>
  </si>
  <si>
    <t>Llyods Bank</t>
  </si>
  <si>
    <t>Developer of a banking platform designed to consolidate multiple cards and accounts into one smart card and application</t>
  </si>
  <si>
    <t>Zuto</t>
  </si>
  <si>
    <t>Bridgepoint</t>
  </si>
  <si>
    <t>Operator of a credit brokerage and vehicle finance platform intended to provide loans for car purchases</t>
  </si>
  <si>
    <t>Vault Verify</t>
  </si>
  <si>
    <t>Equifax</t>
  </si>
  <si>
    <t>Operator of a cloud-based verification technology platform intended to automate the process of completing verifications of income and employment</t>
  </si>
  <si>
    <t>PSG Equity</t>
  </si>
  <si>
    <t>UpTop</t>
  </si>
  <si>
    <t>Developer of a crypto and NFT platform designed to help attain expected financial outcomes on the internet</t>
  </si>
  <si>
    <t>ETPay</t>
  </si>
  <si>
    <t>Monnet Payments</t>
  </si>
  <si>
    <t>Chile</t>
  </si>
  <si>
    <t>Operator of a payment gateway platform designed to streamline electronic transfers and reduce payment processing costs for businesses</t>
  </si>
  <si>
    <t>Citi Ventures</t>
  </si>
  <si>
    <t>DAO</t>
  </si>
  <si>
    <t>Fasset</t>
  </si>
  <si>
    <t>Pakistan</t>
  </si>
  <si>
    <t>Digital real-estate investment platform</t>
  </si>
  <si>
    <t>Delta South Title</t>
  </si>
  <si>
    <t>Propy</t>
  </si>
  <si>
    <t>Provider of title and escrow services catering to residential and commercial real estate sectors</t>
  </si>
  <si>
    <t>SCM Insurance Services</t>
  </si>
  <si>
    <t xml:space="preserve">Davies </t>
  </si>
  <si>
    <t>Provider of outsourced insurance services intended to cater to the property and casualty (P&amp;C) insurance industry</t>
  </si>
  <si>
    <t>PriceStats</t>
  </si>
  <si>
    <t>State Street</t>
  </si>
  <si>
    <t>Leading provider of daily inflation statistics derived from digitally-sourced prices for millions of consumer products across the world</t>
  </si>
  <si>
    <t>Diamant Software</t>
  </si>
  <si>
    <t>GER</t>
  </si>
  <si>
    <t xml:space="preserve">Platform offers modular accounting, reporting, and automation features </t>
  </si>
  <si>
    <t>JTC</t>
  </si>
  <si>
    <t>Premira</t>
  </si>
  <si>
    <t>Fund administration</t>
  </si>
  <si>
    <t>Bitwage</t>
  </si>
  <si>
    <t>PayStand</t>
  </si>
  <si>
    <t>Provider of payroll services intended to manage growing remote working trends</t>
  </si>
  <si>
    <t>Wirespeed</t>
  </si>
  <si>
    <t>Coalition</t>
  </si>
  <si>
    <t>Developer of a security alert management platform designed to enable rapid detection and response to cybersecurity threats</t>
  </si>
  <si>
    <t>Forge Global Holdings</t>
  </si>
  <si>
    <t>Charles Schwab</t>
  </si>
  <si>
    <t>Premier private market platform and a leading trading marketplace through which investors have bought and sold more than $17 billion in private company shares</t>
  </si>
  <si>
    <t>n.m.f.</t>
  </si>
  <si>
    <t>Hype</t>
  </si>
  <si>
    <t>Banca Sella</t>
  </si>
  <si>
    <t>Developer of an open banking software designed to improve and simplify online transactions, payments, and financial management</t>
  </si>
  <si>
    <t>Illimity Bank</t>
  </si>
  <si>
    <t>NetVendor</t>
  </si>
  <si>
    <t>Five Arrows</t>
  </si>
  <si>
    <t>Developer of property management software designed for property management companies, vendors and contractors</t>
  </si>
  <si>
    <t>Greenridge Growth Partners</t>
  </si>
  <si>
    <t>SteelEye</t>
  </si>
  <si>
    <t>FundApps</t>
  </si>
  <si>
    <t>Developer of a data analytics platform designed to offer transaction reporting, record keeping, trade reconstruction and execution</t>
  </si>
  <si>
    <t>ProSpend</t>
  </si>
  <si>
    <t>ISH</t>
  </si>
  <si>
    <t>Developer of financial software intended to make the spending processes from procurement to pay more automated</t>
  </si>
  <si>
    <t>Palisade</t>
  </si>
  <si>
    <t>Ripple</t>
  </si>
  <si>
    <t>Wallet-as-a-service platform</t>
  </si>
  <si>
    <t>Slice</t>
  </si>
  <si>
    <t>Lolli</t>
  </si>
  <si>
    <t>Provider of consumer payment and lending products designed to make the world better at using time and money, with a major focus on providing a better consumer experience</t>
  </si>
  <si>
    <t>Portfolio Group</t>
  </si>
  <si>
    <t>Protective Life Corporation</t>
  </si>
  <si>
    <t>Portfolio’s primary business is turnkey reinsurance management of vehicle service contracts, warranties and other F&amp;I products sold in the automotive dealership</t>
  </si>
  <si>
    <t>Abry Partners</t>
  </si>
  <si>
    <t>Brocc</t>
  </si>
  <si>
    <t>Cerberus Capital Management</t>
  </si>
  <si>
    <t>Provider of deposits and loan services catering to private individuals and small and medium-sized businesses</t>
  </si>
  <si>
    <t>Pocketnest</t>
  </si>
  <si>
    <t>Maps Credit Union, Reseda Group</t>
  </si>
  <si>
    <t>Developer of a financial planning platform designed to offer a holistic financial wellness approach</t>
  </si>
  <si>
    <t>CSG Systems International</t>
  </si>
  <si>
    <t>NEC Corporation</t>
  </si>
  <si>
    <t>SaaS platform company that enables companies in a wide variety of industry verticals to tackle the growing complexity of business in the digital age</t>
  </si>
  <si>
    <t>EquityZen</t>
  </si>
  <si>
    <t>Morgan Stanley</t>
  </si>
  <si>
    <t>Leading marketplace for pre-IPO investments, connecting shareholders of private companies with accredited investors</t>
  </si>
  <si>
    <t>LogiPe</t>
  </si>
  <si>
    <t>AtoB</t>
  </si>
  <si>
    <t>Developer of a payments infrastructure platform designed for digitizing transactions</t>
  </si>
  <si>
    <t>Onaroll</t>
  </si>
  <si>
    <t>The company's platform offers performance and loyalty rewards to shift workers to reduce employee turnover</t>
  </si>
  <si>
    <t>Mortgage Cadence</t>
  </si>
  <si>
    <t>PartnerOne</t>
  </si>
  <si>
    <t>Developer of enterprise lending software intended to support lenders in managing mortgage origination and lending operations</t>
  </si>
  <si>
    <t>Accenture</t>
  </si>
  <si>
    <t>ProNavigator</t>
  </si>
  <si>
    <t>Guidewire</t>
  </si>
  <si>
    <t>Developer of an all-in-one knowledge management system designed to drive sales and productivity easily using technology for insurance</t>
  </si>
  <si>
    <t>Best Egg</t>
  </si>
  <si>
    <t>Barclays</t>
  </si>
  <si>
    <t>Developer of an online lending platform designed to make money accessible for people without having an impact on their credit scores.</t>
  </si>
  <si>
    <t>Tenset</t>
  </si>
  <si>
    <t>Redacted</t>
  </si>
  <si>
    <t>Developer of a blockchain ecosystem designed to empower crypto startups with tech support, marketing, and attention from an active community</t>
  </si>
  <si>
    <t>Chain Ridge Capital</t>
  </si>
  <si>
    <t>Kompliant</t>
  </si>
  <si>
    <t>LegalScript</t>
  </si>
  <si>
    <t>Developer of an online platform designed to make it simpler than ever to configure, deploy, and manage credit risk programs</t>
  </si>
  <si>
    <t>Trailight</t>
  </si>
  <si>
    <t>COMPLY</t>
  </si>
  <si>
    <t>Developer of compliance management software intended to support individual regulatory compliance in global financial services</t>
  </si>
  <si>
    <t>Pulsar Group</t>
  </si>
  <si>
    <t>BMLL Technologies</t>
  </si>
  <si>
    <t xml:space="preserve">Data and analytics. Hosts order-by-order L3 data on a centralized cloud platform and allows customers secure access by API </t>
  </si>
  <si>
    <t>RentFinder</t>
  </si>
  <si>
    <t>Mainsail Partners</t>
  </si>
  <si>
    <t>Operator of a rent analysis platform designed for market analysis and pricing purposes</t>
  </si>
  <si>
    <t>KYC360</t>
  </si>
  <si>
    <t>Provider of AML knowledge hub dedicated to improving the effectiveness of compliance departments through intelligent process automation of risk-based customer onboarding</t>
  </si>
  <si>
    <t>Finastra (Canadian Student Loan Servicing Business)</t>
  </si>
  <si>
    <t>Nelnet</t>
  </si>
  <si>
    <t>Leading provider of student loan servicing solutions to governments and financial institutions in Canada providing technology enabled managed services across the loan lifecycle</t>
  </si>
  <si>
    <t>Finastra</t>
  </si>
  <si>
    <t>Dynamic</t>
  </si>
  <si>
    <t>Developer of a non-fungible token platform designed to accelerate the adoption of wallet-based authentication and identity</t>
  </si>
  <si>
    <t>Stable Finance</t>
  </si>
  <si>
    <t>Aave</t>
  </si>
  <si>
    <t>Provider of peer-to-peer financial tools designed for yield-based savings</t>
  </si>
  <si>
    <t>MaC Venture</t>
  </si>
  <si>
    <t>Contour</t>
  </si>
  <si>
    <t>XDC Ventures</t>
  </si>
  <si>
    <t>Developer of decentralized trade finance network designed to simplify end-to-end collaboration across the entire trade ecosystem</t>
  </si>
  <si>
    <t>Xalts</t>
  </si>
  <si>
    <t>FairNow</t>
  </si>
  <si>
    <t>AuditBoard</t>
  </si>
  <si>
    <t>Developer of an artificial intelligence (AI) governance platform designed to simplify and centralize risk management at scale</t>
  </si>
  <si>
    <t>Beam</t>
  </si>
  <si>
    <t>Modern Treasury</t>
  </si>
  <si>
    <t>Full-stack stablecoin-based PSP - built to deliver faster, cheaper, and smarter global money movement</t>
  </si>
  <si>
    <t>21Shares</t>
  </si>
  <si>
    <t>FalconX</t>
  </si>
  <si>
    <t>World's largest crytpo exchange-traded products</t>
  </si>
  <si>
    <t>Alchemy Technology Services</t>
  </si>
  <si>
    <t>NTT Data</t>
  </si>
  <si>
    <t>Insurance technology consultancy</t>
  </si>
  <si>
    <t>Railbird</t>
  </si>
  <si>
    <t>DraftKings</t>
  </si>
  <si>
    <t>Developer of a stockbroking platform designed to trade shares in sports teams and players</t>
  </si>
  <si>
    <t>Echo</t>
  </si>
  <si>
    <t>Coinbase</t>
  </si>
  <si>
    <t>Onchain platform that helps communities invest together and gives founders more options for their cap table</t>
  </si>
  <si>
    <t>Zimpler</t>
  </si>
  <si>
    <t>TrueLayer</t>
  </si>
  <si>
    <t>Sweden-based "pay by bank" provider</t>
  </si>
  <si>
    <t>Bambora</t>
  </si>
  <si>
    <t>Shift4</t>
  </si>
  <si>
    <t>FR</t>
  </si>
  <si>
    <t>French payments processor</t>
  </si>
  <si>
    <t>8fig</t>
  </si>
  <si>
    <t>Bizcap</t>
  </si>
  <si>
    <t>Developer of growth planning and funding software designed to democratize online retail</t>
  </si>
  <si>
    <t>Pardus Underwriting</t>
  </si>
  <si>
    <t>Brown &amp; Brown</t>
  </si>
  <si>
    <t>Provider of independent underwriting services intended to serve the insurance market and broking community</t>
  </si>
  <si>
    <t>Sanad Cash</t>
  </si>
  <si>
    <t>Qashio</t>
  </si>
  <si>
    <t>Developer of an all-in-one spending management platform intended to track all spending from one single dashboard</t>
  </si>
  <si>
    <t>HyperPay</t>
  </si>
  <si>
    <t>Fintilect</t>
  </si>
  <si>
    <t>Volaris Group</t>
  </si>
  <si>
    <t>Cloud-hosted suite of products which sit between the consumers and their banking data, allowing legacy financial services companies to have a digital front-end</t>
  </si>
  <si>
    <t>KRIYA</t>
  </si>
  <si>
    <t>AllicaBank</t>
  </si>
  <si>
    <t>Provides invoice finance, SME loans and embedded PayLater solutions</t>
  </si>
  <si>
    <t>Ren</t>
  </si>
  <si>
    <t>Great Hill Partners</t>
  </si>
  <si>
    <t>Provider of philanthropic solutions intended to serve financial services firms, nonprofit organizations, and community foundations</t>
  </si>
  <si>
    <t>DataTools</t>
  </si>
  <si>
    <t>GB Group</t>
  </si>
  <si>
    <t>Developer of software specializing in providing data quality, data preparation, and mail production services</t>
  </si>
  <si>
    <t>Empaxis Data Management</t>
  </si>
  <si>
    <t>Communify</t>
  </si>
  <si>
    <t>A premier provider of investment data management and operational services for wealth and asset managers</t>
  </si>
  <si>
    <t>MBS Source</t>
  </si>
  <si>
    <t>SOLVE</t>
  </si>
  <si>
    <t>Developer of a web-based data trading platform designed to offer mortgage-backed and asset-backed securities</t>
  </si>
  <si>
    <t>Atlas Accelerator</t>
  </si>
  <si>
    <t>MBA Source</t>
  </si>
  <si>
    <t>A provider of data and trading solutions for the mortgage- and asset-backed securities (MBS/ABS) market</t>
  </si>
  <si>
    <t>Solovis</t>
  </si>
  <si>
    <t>Developer of a multi-asset class portfolio management, analytics, and reporting platform designed to leverage open architecture asset management</t>
  </si>
  <si>
    <t>Nasdaq</t>
  </si>
  <si>
    <t>GTeasury</t>
  </si>
  <si>
    <t>Global leader in treasury management systems</t>
  </si>
  <si>
    <t>Hg, Mainsail</t>
  </si>
  <si>
    <t>The Small Exchange</t>
  </si>
  <si>
    <t>Kraken</t>
  </si>
  <si>
    <t>Offers simplified, accessible futures products for both retail and institutional investors</t>
  </si>
  <si>
    <t>IG Group</t>
  </si>
  <si>
    <t>Global Lending</t>
  </si>
  <si>
    <t>Sixth Street Growth</t>
  </si>
  <si>
    <t xml:space="preserve">Automotive finance company </t>
  </si>
  <si>
    <t>With Intelligence</t>
  </si>
  <si>
    <t>Industry-leading, proprietary data spans the full alternatives investing lifecycle</t>
  </si>
  <si>
    <t>Motive</t>
  </si>
  <si>
    <t>OneCause</t>
  </si>
  <si>
    <t>Bonterra</t>
  </si>
  <si>
    <t>Developer of easy-to-use online and event fundraising platform designed to help nonprofits improve the giving experience and raise more money</t>
  </si>
  <si>
    <t>AuditComply</t>
  </si>
  <si>
    <t>Nulogy</t>
  </si>
  <si>
    <t>Developer of risk and compliance management software designed to streamline audit and regulatory processes</t>
  </si>
  <si>
    <t>EzyCollect</t>
  </si>
  <si>
    <t>Sidetrade</t>
  </si>
  <si>
    <t>Developer of a debtor management platform designed to assist businesses in automating and scheduling enterprise workflow.</t>
  </si>
  <si>
    <t>EzyCollect Holdings</t>
  </si>
  <si>
    <t>RetireOne</t>
  </si>
  <si>
    <t>Simplicity Group</t>
  </si>
  <si>
    <t>The market's leading independent "out-sourced insurance desk" for fee-based insurance solutions</t>
  </si>
  <si>
    <t>Nochex</t>
  </si>
  <si>
    <t>PS Trax</t>
  </si>
  <si>
    <t>Online payment service provider</t>
  </si>
  <si>
    <t>SquareRisk</t>
  </si>
  <si>
    <t>Bold Penguin</t>
  </si>
  <si>
    <t>Digital-native, AI-enabled wholesale insurance marketplace</t>
  </si>
  <si>
    <t>BrokerTech Ventures</t>
  </si>
  <si>
    <t>WinFactor</t>
  </si>
  <si>
    <t>Lendscape</t>
  </si>
  <si>
    <t>Developer of financial software designed for transportation factors</t>
  </si>
  <si>
    <t>Skilling</t>
  </si>
  <si>
    <t>INFINOX</t>
  </si>
  <si>
    <t>Cyrpus</t>
  </si>
  <si>
    <t>Developer of a forex and contract for difference (CFD) trading platform designed to help traders actively trade in shares, commodities, and cryptocurrencies</t>
  </si>
  <si>
    <t>Loctax</t>
  </si>
  <si>
    <t>Tax Systems</t>
  </si>
  <si>
    <t>Belgium</t>
  </si>
  <si>
    <t>Developer of a collaborative tax project management platform designed to achieve higher levels of compliance, efficiency, and corporate social responsibility</t>
  </si>
  <si>
    <t>Strategic Insurance Group</t>
  </si>
  <si>
    <t>Equal Parts</t>
  </si>
  <si>
    <t>Provider of insurance brokerage services intended to serve individuals and businesses</t>
  </si>
  <si>
    <t>Atlas Metrics</t>
  </si>
  <si>
    <t>Novata</t>
  </si>
  <si>
    <t>Developer of an ESG and sustainability management platform designed to simplify compliance and performance tracking across diverse industries.</t>
  </si>
  <si>
    <t>Credas Technologies</t>
  </si>
  <si>
    <t>SmartSearch</t>
  </si>
  <si>
    <t>Developer of a digital ID verification platform intended to enable clients to perform checks in real time</t>
  </si>
  <si>
    <t>D&amp;D</t>
  </si>
  <si>
    <t>Tenor Digital</t>
  </si>
  <si>
    <t>Juniper Square</t>
  </si>
  <si>
    <t>AI-enabled platform purpose-built for private credit lenders and loan administrators</t>
  </si>
  <si>
    <t>Congrify</t>
  </si>
  <si>
    <t>IxoPay</t>
  </si>
  <si>
    <t>Developer of a payment intelligence platform designed to simplify data observability and improve financial transparency</t>
  </si>
  <si>
    <t>Macro Hive</t>
  </si>
  <si>
    <t>BGC Group</t>
  </si>
  <si>
    <t>Provider of a macro research and analytics strategy catering to professional and institutional investors</t>
  </si>
  <si>
    <t>Crizit</t>
  </si>
  <si>
    <t>TRG Screen</t>
  </si>
  <si>
    <t>Developer of a market data cost management platform intended for monitoring and optimizing usage</t>
  </si>
  <si>
    <t>Nucleus Commercial Finance</t>
  </si>
  <si>
    <t>Pulse</t>
  </si>
  <si>
    <t>Combine the stability of bank finance with the flexibility and speed of alternative lending platforms</t>
  </si>
  <si>
    <t>Bamboo Insurance</t>
  </si>
  <si>
    <t>CVC Capital Partners</t>
  </si>
  <si>
    <t>Data-enabled insurance distribution platform providing homeowners' insurance and related products to the residential property market</t>
  </si>
  <si>
    <t>White Mountain Insurance Group</t>
  </si>
  <si>
    <t>MyExpatTaxes</t>
  </si>
  <si>
    <t>SYNACTI</t>
  </si>
  <si>
    <t>Austria</t>
  </si>
  <si>
    <t>Operator of an expat tax filing platform intended to provide tax filing services for US expats</t>
  </si>
  <si>
    <t>TrustArc</t>
  </si>
  <si>
    <t>Main Capital Partners</t>
  </si>
  <si>
    <t>Privacy and AI risk management software</t>
  </si>
  <si>
    <t>Bregal Sagemount</t>
  </si>
  <si>
    <t>FinQuery</t>
  </si>
  <si>
    <t>A leading provider of AI-powered accounting automation solutions</t>
  </si>
  <si>
    <t>Accelex</t>
  </si>
  <si>
    <t>Carta</t>
  </si>
  <si>
    <t>AI-powered data automation platform focused on alternative investments for institutional limited partners (LPs)</t>
  </si>
  <si>
    <t>Digital Storefront</t>
  </si>
  <si>
    <t>Demopolis Equity Partners</t>
  </si>
  <si>
    <t>Developer of a lending automation platform intended to help credit unions and banks drive significant loan volume across all product categories and customer touch-points</t>
  </si>
  <si>
    <t>TruStage</t>
  </si>
  <si>
    <t>Criterion</t>
  </si>
  <si>
    <t>Sage</t>
  </si>
  <si>
    <t>Developer of human capital management software designed to comprehensively manage payroll and recruiting</t>
  </si>
  <si>
    <t>Applied Risk Capital</t>
  </si>
  <si>
    <t>AmWINS Group</t>
  </si>
  <si>
    <t>Developer of a non-investment grade credit risk platform designed to address a broad range of credit exposures spanning geographies, sectors, and obligor profiles</t>
  </si>
  <si>
    <t>Sirvatus</t>
  </si>
  <si>
    <t>Developer of a loan servicing automation platform designed for private credit</t>
  </si>
  <si>
    <t>Versatile Credit</t>
  </si>
  <si>
    <t>Synchrony Financial</t>
  </si>
  <si>
    <t>Consumer-financing software that connects merchants, lenders and consumers</t>
  </si>
  <si>
    <t>Omnipresent</t>
  </si>
  <si>
    <t>Deel</t>
  </si>
  <si>
    <t>Global employment partner providing tech-enables solutions for hiring and managing employees</t>
  </si>
  <si>
    <t>Besolo</t>
  </si>
  <si>
    <t>Lettuce Financial</t>
  </si>
  <si>
    <t>The company's software handles tax, accounting, compliance for solo professionals</t>
  </si>
  <si>
    <t>AllPaid</t>
  </si>
  <si>
    <t>Theatre Capital</t>
  </si>
  <si>
    <t>Leading provider of trusted digital payment solutions for government agencies and municipalities across the United States</t>
  </si>
  <si>
    <t>Verity</t>
  </si>
  <si>
    <t>TMX Group</t>
  </si>
  <si>
    <t>Research management software along with enhanced data and analytics to more than 300 institutional investors worldwide</t>
  </si>
  <si>
    <t>Resurgens</t>
  </si>
  <si>
    <t>Informed.IQ</t>
  </si>
  <si>
    <t>Invictus Growth Partners</t>
  </si>
  <si>
    <t>Operator of a consumer auto financing platform intended to collect and analyze loan documents</t>
  </si>
  <si>
    <t>RedotPay</t>
  </si>
  <si>
    <t>Goodwater Capital</t>
  </si>
  <si>
    <t>Hong Kong</t>
  </si>
  <si>
    <t>Developer of a digital asset payment infrastructure designed to transform the way individuals and businesses transact using cryptocurrencies</t>
  </si>
  <si>
    <t>OnCorps</t>
  </si>
  <si>
    <t>Long Ridge Equity</t>
  </si>
  <si>
    <t>A leading agentic AI platform for fund operations</t>
  </si>
  <si>
    <t>Esusu</t>
  </si>
  <si>
    <t>Westbound Equity Partners</t>
  </si>
  <si>
    <t>Developer of a financial platform designed to offer credit-building through rent payment reporting</t>
  </si>
  <si>
    <t>RealVantage</t>
  </si>
  <si>
    <t>Soilbuild Group Holdings Ltd</t>
  </si>
  <si>
    <t>RealVantage provides investors with access to institutional-grade global real estate deals</t>
  </si>
  <si>
    <t>Hnry</t>
  </si>
  <si>
    <t>Movac</t>
  </si>
  <si>
    <t>New Zealand</t>
  </si>
  <si>
    <t>Developer of a financial application designed to take care of the financial aspects, such as taxes, payments, and expenses</t>
  </si>
  <si>
    <t>Parametrix</t>
  </si>
  <si>
    <t>FirstMark, Mundi Ventures</t>
  </si>
  <si>
    <t>Provider of business interruption insurance intended to cover insurance policies covering third-party information technology downtime events</t>
  </si>
  <si>
    <t>Canary</t>
  </si>
  <si>
    <t>Angel Bridge</t>
  </si>
  <si>
    <t>Tokyo</t>
  </si>
  <si>
    <t>Developing vertical AI solutions for the real estate industry</t>
  </si>
  <si>
    <t>Addition</t>
  </si>
  <si>
    <t>Operator of a global payments and financial platform designed to process international payments</t>
  </si>
  <si>
    <t>Flex</t>
  </si>
  <si>
    <t>Portage</t>
  </si>
  <si>
    <t>Operator of a financial platform intended to unify business and personal finances for entrepreneurs</t>
  </si>
  <si>
    <t>Coremount</t>
  </si>
  <si>
    <t>Blue Owl</t>
  </si>
  <si>
    <t>Developer of portfolio management software intended to assist investment managers and financial institutions in dealing with the investment management lifecycle</t>
  </si>
  <si>
    <t>Digitec</t>
  </si>
  <si>
    <t>EMH Partners</t>
  </si>
  <si>
    <t>Operator of a financial technology and service company intended to offer services for FX swaps, NDFs, money markets and precious metals</t>
  </si>
  <si>
    <t>Kalshi</t>
  </si>
  <si>
    <t>Paradigm</t>
  </si>
  <si>
    <t>Developer of an online financial platform designed to facilitate trading based on event outcomes</t>
  </si>
  <si>
    <t>Revolut</t>
  </si>
  <si>
    <t>Coatue Management</t>
  </si>
  <si>
    <t>Developer of a foreign exchange and money-transferring application designed to simplify personal money management across currencies and borders</t>
  </si>
  <si>
    <t>FT Partners</t>
  </si>
  <si>
    <t>Developer of an artificial intelligence-powered research platform designed to improve workflows and automate processes in the financial sector</t>
  </si>
  <si>
    <t>Numeric</t>
  </si>
  <si>
    <t>Fifth Down Capital</t>
  </si>
  <si>
    <t>Developer of a financial platform intended to support finance and accounting teams</t>
  </si>
  <si>
    <t>FurtherAI</t>
  </si>
  <si>
    <t>Andreeson Horowitz</t>
  </si>
  <si>
    <t>Developer of artificial intelligence-powered workflow automation tools designed to optimize commercial insurance operations</t>
  </si>
  <si>
    <t>Pay.com.au</t>
  </si>
  <si>
    <t>Morgans Corporate</t>
  </si>
  <si>
    <t>Developer of a business-to-business payment platform designed to help businesses manage their payments and expenses</t>
  </si>
  <si>
    <t>Maybern</t>
  </si>
  <si>
    <t>Battery Ventures</t>
  </si>
  <si>
    <t>Developer of a fund management platform designed to streamline complex fund operations and business logic.</t>
  </si>
  <si>
    <t>Carson Living</t>
  </si>
  <si>
    <t>LoneTree</t>
  </si>
  <si>
    <t>Developer of a remote doorman service application designed to enhance the residents' living experience by streamlining operations and communications for property management</t>
  </si>
  <si>
    <t>Keyzy</t>
  </si>
  <si>
    <t>Crayon Partners</t>
  </si>
  <si>
    <t>Keyzy allows renters to convert up to 100% of their rent payments into a deposit via fixed-term leases with pre-agreed purchase prices</t>
  </si>
  <si>
    <t>Venn</t>
  </si>
  <si>
    <t>Consortium</t>
  </si>
  <si>
    <t>Operator of a real estate and neighborhood platform intended to facilitate and promote community engagement</t>
  </si>
  <si>
    <t>Developer of a trading platform designed to offer cryptocurrency exchange and services</t>
  </si>
  <si>
    <t>Maxima</t>
  </si>
  <si>
    <t>Redpoint Ventures</t>
  </si>
  <si>
    <t>Developer of an AI-based accounting platform designed for teams to organize their close, streamline reconciliations, and leverage auto-drafted flux analysis</t>
  </si>
  <si>
    <t>TMT ID</t>
  </si>
  <si>
    <t>BGF</t>
  </si>
  <si>
    <t>Developer of mobile number intelligence and identification software designed to improve customer engagement, prevent fraud, and authenticate users globally</t>
  </si>
  <si>
    <t>Chargeflow</t>
  </si>
  <si>
    <t>Viola Growth, OpenView Ventures</t>
  </si>
  <si>
    <t>Developer of chargeback management software intended to help electronic commerce merchants</t>
  </si>
  <si>
    <t>Lightspeed Venture Partners</t>
  </si>
  <si>
    <t>Developer of a spend-management platform designed to streamline business, improve efficiency, and build healthier enterprises</t>
  </si>
  <si>
    <t>Flatpay</t>
  </si>
  <si>
    <t>AVP</t>
  </si>
  <si>
    <t>Developer of an online payment platform</t>
  </si>
  <si>
    <t>Norm AI</t>
  </si>
  <si>
    <t>New York Life Ventures</t>
  </si>
  <si>
    <t>Developer of a regulatory artificial intelligence agent platform designed to automate compliance processes</t>
  </si>
  <si>
    <t>KKCG, BNF Capital</t>
  </si>
  <si>
    <t>Operator of a direct-to-consumer ad-subsidized payments network intended to offer customers flexible payment solutions</t>
  </si>
  <si>
    <t>Sunday</t>
  </si>
  <si>
    <t>DST Global Partners</t>
  </si>
  <si>
    <t>Developer of a QR-based payment application designed to make payments in restaurants</t>
  </si>
  <si>
    <t>Anzen</t>
  </si>
  <si>
    <t>Madrona Venture</t>
  </si>
  <si>
    <t>Provider of a management liability insurance service intended to help businesses identify and mitigate risks</t>
  </si>
  <si>
    <t>FNZ</t>
  </si>
  <si>
    <t>Existing Investors</t>
  </si>
  <si>
    <t>Developer of an information technology platform intended to serve the financial sector</t>
  </si>
  <si>
    <t>Octane</t>
  </si>
  <si>
    <t>Valar Ventures</t>
  </si>
  <si>
    <t>Developer of a financing platform designed to connect people with their passions by making lifestyle purchases</t>
  </si>
  <si>
    <t>Avalara</t>
  </si>
  <si>
    <t>Susquehanna Growth Equity</t>
  </si>
  <si>
    <t>Developer of automated tax compliance software designed for retail, manufacturing, accounting professionals, supply chain and logistics as well as communications industries</t>
  </si>
  <si>
    <t>Finnable</t>
  </si>
  <si>
    <t>Z47, TVS Capital</t>
  </si>
  <si>
    <t>Developer of a digital lending platform designed to provide quick and transparent personal loans to salaried professionals</t>
  </si>
  <si>
    <t>Arrived</t>
  </si>
  <si>
    <t>Neo</t>
  </si>
  <si>
    <t>Operator of an online real estate investing platform designed to let individuals buy and sell fractional ownership in properties</t>
  </si>
  <si>
    <t>Citadel, Fortress Investment Group</t>
  </si>
  <si>
    <t>Developer of a blockchain platform designed to build crypto technology for a world without economic borders</t>
  </si>
  <si>
    <t>Federato</t>
  </si>
  <si>
    <t>GS Growth</t>
  </si>
  <si>
    <t>Developer of an underwriter workflow software designed for insurance companies to manage risk</t>
  </si>
  <si>
    <t>Human Interest</t>
  </si>
  <si>
    <t>TPG</t>
  </si>
  <si>
    <t>Operator of an administration and advising platform intended to offer access to a secure financial future</t>
  </si>
  <si>
    <t>PhonePe</t>
  </si>
  <si>
    <t>Developer of a mobile payment application intended to facilitate digital payments among individuals and businesses</t>
  </si>
  <si>
    <t>Lettuce</t>
  </si>
  <si>
    <t>Zeev Ventures</t>
  </si>
  <si>
    <t>Developer of an automated tax and accounting platform designed for solopreneurs, contractors, and freelancers</t>
  </si>
  <si>
    <t>R2</t>
  </si>
  <si>
    <t>Ant International</t>
  </si>
  <si>
    <t>Developer of an embedded lending platform designed to offer financial resources to small and medium businesses simply and securely</t>
  </si>
  <si>
    <t>Hercle</t>
  </si>
  <si>
    <t>F-Prime Capital</t>
  </si>
  <si>
    <t>Developer of an institutional-grade infrastructure platform designed to connect fiat, stablecoins, and digital assets for seamless cross-asset and cross-border transactions</t>
  </si>
  <si>
    <t>Optimo Capital</t>
  </si>
  <si>
    <t>Blume Ventures</t>
  </si>
  <si>
    <t>Developer of a financial lending platform intended to provide collateral-free loans to small and medium businesses in rural India</t>
  </si>
  <si>
    <t>FundPark</t>
  </si>
  <si>
    <t>Ares Management</t>
  </si>
  <si>
    <t>Developer of a financial technology financing platform designed to provide unbanked or underbanked corporate clients with trade financing solutions</t>
  </si>
  <si>
    <t>Grasp</t>
  </si>
  <si>
    <t>Octopus</t>
  </si>
  <si>
    <t>Developer of an AI-based assistant intended to automate complex finance workflows</t>
  </si>
  <si>
    <t>Formalize</t>
  </si>
  <si>
    <t>Acton Capital, BlackFin</t>
  </si>
  <si>
    <t>Developer of a compliance operations platform intended to offer whistleblowing management services</t>
  </si>
  <si>
    <t>Indico Data</t>
  </si>
  <si>
    <t>AI-powered automaiton software for insurers</t>
  </si>
  <si>
    <t>Wealthsimple</t>
  </si>
  <si>
    <t>Dragoneer, GIC</t>
  </si>
  <si>
    <t>Platform offering investing, saving, spending and tax solutions</t>
  </si>
  <si>
    <t>SavvyMoney</t>
  </si>
  <si>
    <t>PSG, Canapi Ventures</t>
  </si>
  <si>
    <t>Financial wellness and growth solutions</t>
  </si>
  <si>
    <t>Qolo</t>
  </si>
  <si>
    <t>Huntington National Bank</t>
  </si>
  <si>
    <t>Developer of a business-to-business payment platform intended to navigate the payments and financial transactions landscape</t>
  </si>
  <si>
    <t>Clerq</t>
  </si>
  <si>
    <t>645 Ventures</t>
  </si>
  <si>
    <t>Developer of a bank payment platform designed to facilitate direct payments from customer bank accounts</t>
  </si>
  <si>
    <t>Pave Bank</t>
  </si>
  <si>
    <t>Accel KKR</t>
  </si>
  <si>
    <t>Developer of a financial banking platform designed for businesses with global and multi-asset banking</t>
  </si>
  <si>
    <t>Endowus</t>
  </si>
  <si>
    <t>Illuminate</t>
  </si>
  <si>
    <t>Asia’s leading independent wealth advisory and investment platform</t>
  </si>
  <si>
    <t>GradBridge</t>
  </si>
  <si>
    <t>Acorn Investment Partners</t>
  </si>
  <si>
    <t>Operator of alternative private student loan services intended for students who do not meet traditional lending criteria</t>
  </si>
  <si>
    <t>Kard</t>
  </si>
  <si>
    <t>Trinity Capital Investment</t>
  </si>
  <si>
    <t>Developer of a loyalty platform intended to enhance customer rewards programs through card-linked offers</t>
  </si>
  <si>
    <t>Streetbeat</t>
  </si>
  <si>
    <t>CDP Ventures</t>
  </si>
  <si>
    <t>Developer of an artificial intelligence-powered investment platform designed to unify customer relationship management, email, and portfolio management</t>
  </si>
  <si>
    <t>Anrok</t>
  </si>
  <si>
    <t>Spark Capital</t>
  </si>
  <si>
    <t>Developer of a sales tax software designed to monitor, calculate, and remit tax across any financial stack</t>
  </si>
  <si>
    <t>Gravwell</t>
  </si>
  <si>
    <t>Two Bear Capital</t>
  </si>
  <si>
    <t>Full-stack data analytics and security platform</t>
  </si>
  <si>
    <t>Velotax</t>
  </si>
  <si>
    <t>Developer of a digital platform designed to simplify the annual income tax declaration process and offer anticipation of tax refunds</t>
  </si>
  <si>
    <t>Development Partners</t>
  </si>
  <si>
    <t>Africa’s all-in-one financial platform for businesses and their customers</t>
  </si>
  <si>
    <t>Glow</t>
  </si>
  <si>
    <t>Apollo Global Management</t>
  </si>
  <si>
    <t>Operator of a telecom cloud provider intended to offer a unified suite of applications on one cloud platform</t>
  </si>
  <si>
    <t>Plata Card</t>
  </si>
  <si>
    <t>Kora Management</t>
  </si>
  <si>
    <t>Developer of a financial platform intended to redefine the way people interact with their personal finances</t>
  </si>
  <si>
    <t>Stand Insurance</t>
  </si>
  <si>
    <t>Eclipse</t>
  </si>
  <si>
    <t>Innovative insurance company focused on protecting catastrophe-exposed properties</t>
  </si>
  <si>
    <t>Tempo</t>
  </si>
  <si>
    <t>Greenoaks Capital Partners</t>
  </si>
  <si>
    <t>Developer of a payments-focused blockchain designed to be purpose-built for stablecoins and real-world payments</t>
  </si>
  <si>
    <t>Upgrade</t>
  </si>
  <si>
    <t>Neuberger Berman</t>
  </si>
  <si>
    <t>Developer of a financial technology platform designed to provide responsible access to credit and banking services</t>
  </si>
  <si>
    <t>MGT Insurance</t>
  </si>
  <si>
    <t>Mubadala Capital</t>
  </si>
  <si>
    <t>Operator of an artificial intelligence-driven full-stack risk platform designed to serve the commercial property and casualty (P&amp;C) market</t>
  </si>
  <si>
    <t>Global HR and payroll platform serving more than 37,000 businesses worldwide</t>
  </si>
  <si>
    <t>Better Payment Network</t>
  </si>
  <si>
    <t>YZI Labs</t>
  </si>
  <si>
    <t>Developer of a blockchain payments platform designed for facilitating global payments using stablecoins</t>
  </si>
  <si>
    <t>Campfire</t>
  </si>
  <si>
    <t>Developer of a revenue management software designed to automate revenue recognition and reporting for accounting and finance teams</t>
  </si>
  <si>
    <t>Instanda</t>
  </si>
  <si>
    <t>Operator of an insurance platform intended to build, launch, and manage products through digital channels without technical expertise</t>
  </si>
  <si>
    <t>Thread Bank</t>
  </si>
  <si>
    <t>Provider of traditional community banking services intended for communities across Eastern Tennessee</t>
  </si>
  <si>
    <t>Liberate</t>
  </si>
  <si>
    <t>Developer of SaaS-based insurance platform designed to deliver a digital and voice claims experience</t>
  </si>
  <si>
    <t>Vantaca</t>
  </si>
  <si>
    <t>Cove Hill Partners</t>
  </si>
  <si>
    <t>Developer of an artificial intelligence-powered community association management software designed to help management companies grow their business and drive operational excellence</t>
  </si>
  <si>
    <t>Telcoin</t>
  </si>
  <si>
    <t>Otter &amp; Co</t>
  </si>
  <si>
    <t>Developer of an online decentralized finance platform designed to provide instant and low-cost money transfers</t>
  </si>
  <si>
    <t>Basis Theory</t>
  </si>
  <si>
    <t>Developer of a tokenization platform designed for securing, using, and managing sensitive data</t>
  </si>
  <si>
    <t>Nova Credit</t>
  </si>
  <si>
    <t>Socium Ventures</t>
  </si>
  <si>
    <t>Developer of a global credit reporting platform designed to improve credit access for immigrants by making their financial history portable across borders</t>
  </si>
  <si>
    <t>Deserv</t>
  </si>
  <si>
    <t>Premji Invest</t>
  </si>
  <si>
    <t>Developer of an investment management platform intended for working professionals to build portfolios to create long-term wealth</t>
  </si>
  <si>
    <t>IRYS</t>
  </si>
  <si>
    <t>Developer of an insurance management software designed to leverage technology to enhance human connections</t>
  </si>
  <si>
    <t>Xceedance</t>
  </si>
  <si>
    <t>Operator of an insurance consulting and technology firm intended to provide strategic operations support, technology, and data services</t>
  </si>
  <si>
    <t>Spice Expeditions</t>
  </si>
  <si>
    <t>Routefusion</t>
  </si>
  <si>
    <t>PeakSpan</t>
  </si>
  <si>
    <t>Developer of cross-border payments software designed to connect with multiple banking and local payout partners around the globe</t>
  </si>
  <si>
    <t>Anthea</t>
  </si>
  <si>
    <t>Yunfeng Financial</t>
  </si>
  <si>
    <t>Developer of life insurance services denominated in digital currency designed to provide financial protection for digital assets</t>
  </si>
  <si>
    <t>Bold</t>
  </si>
  <si>
    <t>Spark Capital, General Atlantic</t>
  </si>
  <si>
    <t>Columbia</t>
  </si>
  <si>
    <t>Operator of a digital payment platform intended to facilitate global transactions</t>
  </si>
  <si>
    <t>Coinflow</t>
  </si>
  <si>
    <t>Pantera Capital</t>
  </si>
  <si>
    <t>Pioneering the payments innovation of this decade, combining stablecoins, AI-driven fraud prevention, and blockchain proof-of-delivery into a single platform</t>
  </si>
  <si>
    <t>QuoteWell</t>
  </si>
  <si>
    <t>NEA</t>
  </si>
  <si>
    <t>Developer of a data-driven platform designed for the insurance industry</t>
  </si>
  <si>
    <t>Meanwhile</t>
  </si>
  <si>
    <t>Haun Ventures</t>
  </si>
  <si>
    <t>Developer of a life insurance platform designed for long-term wealth planning purposes</t>
  </si>
  <si>
    <t>Remitee</t>
  </si>
  <si>
    <t>Operator of a digital multi-purpose payment platform intended to simplify sending and receiving international payments</t>
  </si>
  <si>
    <t>Raise</t>
  </si>
  <si>
    <t>Hornbill Capital Advisors</t>
  </si>
  <si>
    <t>Provider of financial services intended to build technology-led consumer products and infrastructure centered around financially literate users.</t>
  </si>
  <si>
    <t>Feedzai</t>
  </si>
  <si>
    <t>Lince Capitall</t>
  </si>
  <si>
    <t>Portugal</t>
  </si>
  <si>
    <t>Developer of a financial risk management platform designed to offer finance-related fraud detection and prevention facilities</t>
  </si>
  <si>
    <t>Behavox</t>
  </si>
  <si>
    <t>Google Cloud</t>
  </si>
  <si>
    <t>AI company that transforms data into insights to safeguard and enhance businesses</t>
  </si>
  <si>
    <t>DualEntry</t>
  </si>
  <si>
    <t>Developer of an artificial intelligence-based accounting software designed for handling transactions for mid-market enterprises</t>
  </si>
  <si>
    <t>CyberCube</t>
  </si>
  <si>
    <t>Spectrum Equity</t>
  </si>
  <si>
    <t>Developer of a cyber risk analytics platform designed to fuel cyber risk quantification and empower economies to grow with confidence in the digital age</t>
  </si>
  <si>
    <t>Kanastra</t>
  </si>
  <si>
    <t>Developer of an asset management platform designed to solve the friction in the securitization market</t>
  </si>
  <si>
    <t>Provider of financial exchange services intended to facilitate trading based on event outcomes</t>
  </si>
  <si>
    <t>STG</t>
  </si>
  <si>
    <t>S&amp;P Global / IHS Market</t>
  </si>
  <si>
    <t>Stratus</t>
  </si>
  <si>
    <t>Infosys</t>
  </si>
  <si>
    <t>Technology and consulting focused on the P&amp;C insurance with strong presence in the Guidewire ecosystem</t>
  </si>
  <si>
    <t>Semsee</t>
  </si>
  <si>
    <t>iBynd</t>
  </si>
  <si>
    <t xml:space="preserve">Software for insurance submission management and workflow </t>
  </si>
  <si>
    <t>CalcFocus</t>
  </si>
  <si>
    <t>Pamlico Capital</t>
  </si>
  <si>
    <t>Provider of core system software for life insurance &amp; annuity carriers</t>
  </si>
  <si>
    <t>PartsTrader</t>
  </si>
  <si>
    <t>Mitchell</t>
  </si>
  <si>
    <t xml:space="preserve">Provider of auto collision parts procurement software and marketplace to streamline insurance claims </t>
  </si>
  <si>
    <t>KreditBee</t>
  </si>
  <si>
    <t>Motilal Oswal Alternates</t>
  </si>
  <si>
    <t>State-of-the-art digital lending platform catering to mass borrowers and emerging small businesses in India</t>
  </si>
  <si>
    <t>MillTech</t>
  </si>
  <si>
    <t>Apax Digital</t>
  </si>
  <si>
    <t>Leading risk management platform which provides next-gen FX hedging and cash investments for fund managers and corporates</t>
  </si>
  <si>
    <t>Residential appraisal services and technology delivering market analysis, time adjustments, feature adjustments, and trend insights that enhance quality, speed, and compliance</t>
  </si>
  <si>
    <t>True Footage</t>
  </si>
  <si>
    <t>CFO Silvia</t>
  </si>
  <si>
    <t>ProCap Financial</t>
  </si>
  <si>
    <t>Offers portfolio analysis and personalized financial insights to consumers through its suite of proprietary AI agents</t>
  </si>
  <si>
    <t>Provider of customer-friendly embedded financial solutions for small businesses</t>
  </si>
  <si>
    <t>Pipe</t>
  </si>
  <si>
    <t>Fin Capital, MaC Venture Capital</t>
  </si>
  <si>
    <t>Insurica</t>
  </si>
  <si>
    <t>Provider of insurance brokerage services</t>
  </si>
  <si>
    <t>Beem</t>
  </si>
  <si>
    <t>Bolt Group</t>
  </si>
  <si>
    <t>Australian consumer finance app bringing together payments, a gateway to transaction and savings accounts, multi-currency, and investing into a single, seamless experience</t>
  </si>
  <si>
    <t>AI-powered compliance platform automating HR, payroll, tax, and corporate registration compliance, designed for companies managing remote, multi-state, or international workers</t>
  </si>
  <si>
    <t>Gusto</t>
  </si>
  <si>
    <t>Mosey</t>
  </si>
  <si>
    <t>Mimir</t>
  </si>
  <si>
    <t>Provider of a range of digital services for merchants and partners, including loyalty solutions, IT solutions, and industry-tailored payment and financing solutions</t>
  </si>
  <si>
    <t>RED</t>
  </si>
  <si>
    <t>Linx Security</t>
  </si>
  <si>
    <t>Offers an AI-native security platform that continuously maps, monitors, and governs all identities across an enterprise — spanning employees, machines, services, and AI agents</t>
  </si>
  <si>
    <t>Censys</t>
  </si>
  <si>
    <t>Morgan Stanley Expansion Capital</t>
  </si>
  <si>
    <t>Provider of internet intelligence capabilities, helping enterprises, governments, and critical infrastructure providers track and respond to threats across their internet exposure</t>
  </si>
  <si>
    <t>ByAllAccounts</t>
  </si>
  <si>
    <t>Pello Companies</t>
  </si>
  <si>
    <t>Offers data aggregation technology serving financial applications</t>
  </si>
  <si>
    <t>Morningstar</t>
  </si>
  <si>
    <t>AOE Software</t>
  </si>
  <si>
    <t>QSource</t>
  </si>
  <si>
    <t>Maroo</t>
  </si>
  <si>
    <t>Business management and payments platform for wedding and event professionals</t>
  </si>
  <si>
    <t>PM Insights</t>
  </si>
  <si>
    <t>Specialist private markets data and analytics firm providing daily secondary market reference data, including on pricing, valuation, transaction, and liquidity, for private companies</t>
  </si>
  <si>
    <t>Cocoon</t>
  </si>
  <si>
    <t>TriNet</t>
  </si>
  <si>
    <t>AI-powered procurement and vendor management platform</t>
  </si>
  <si>
    <t>Sudozi</t>
  </si>
  <si>
    <t>Zone &amp; Co</t>
  </si>
  <si>
    <t>Surge</t>
  </si>
  <si>
    <t>New Cheval Holdings</t>
  </si>
  <si>
    <t>Partner intelligence platform for wholesale mortgage lenders</t>
  </si>
  <si>
    <t>PE Buyout</t>
  </si>
  <si>
    <t>Employee leave management technology provider delivering an intuitive compliance-driven product that improves both the employer and employee experience at every touchpoint</t>
  </si>
  <si>
    <t>Provider of commercial real estate lease escalation billing tools</t>
  </si>
  <si>
    <t>PayEx (Payments Business)</t>
  </si>
  <si>
    <t>Week</t>
  </si>
  <si>
    <t>4.04-4.10</t>
  </si>
  <si>
    <t>N/A</t>
  </si>
  <si>
    <t>Provider of advanced catastrophe risk modeling tools designed to help clients assess and manage exposure to a broad range of natural perils</t>
  </si>
  <si>
    <t>4.11-4.17</t>
  </si>
  <si>
    <t>Carry</t>
  </si>
  <si>
    <t>Hiro</t>
  </si>
  <si>
    <t>OpenAI</t>
  </si>
  <si>
    <t>Sightglass</t>
  </si>
  <si>
    <t>Cable</t>
  </si>
  <si>
    <t>Synctera</t>
  </si>
  <si>
    <t>Bitnomial</t>
  </si>
  <si>
    <t>Zengo</t>
  </si>
  <si>
    <t>eToro</t>
  </si>
  <si>
    <t>Hyper</t>
  </si>
  <si>
    <t>American Express</t>
  </si>
  <si>
    <t>Konfir</t>
  </si>
  <si>
    <t>Virtua Research</t>
  </si>
  <si>
    <t>Q4 Inc.</t>
  </si>
  <si>
    <t>helden.de</t>
  </si>
  <si>
    <t>Getsafe</t>
  </si>
  <si>
    <t>PaynoPain</t>
  </si>
  <si>
    <t>Euronet</t>
  </si>
  <si>
    <t>TAPn'GO</t>
  </si>
  <si>
    <t>PayTabs</t>
  </si>
  <si>
    <t>Paymark</t>
  </si>
  <si>
    <t>Cuscal</t>
  </si>
  <si>
    <t>Carry is a retirement and investing platform built for self-employed professionals</t>
  </si>
  <si>
    <t>Hiro is an AI-powered personal finance tool that provides tailored financial recommendations</t>
  </si>
  <si>
    <t>Sightglass is an AI-native due diligence questionnaire (DDQ) automation company for the private markets</t>
  </si>
  <si>
    <t>Cable is a regtech company that enables banks to test their compliance controls</t>
  </si>
  <si>
    <t>Bitnomial is a US-based, fully CFTC-licensed derivatives company for digital assets</t>
  </si>
  <si>
    <t>Konfir is a UK-based employment and income verification platform</t>
  </si>
  <si>
    <t>Virtua Research is a provider of collaborative consensus analytics and financial modeling solutions</t>
  </si>
  <si>
    <t>helden.de is a Hamburg-based digital insurance intermediary with a portfolio in liability, household contents, and bike insurance</t>
  </si>
  <si>
    <t>PaynoPain is a Spanish fintech that provides a variety of payment solutions for businesses</t>
  </si>
  <si>
    <t>TAPn'GO is a UAE-based contactless payment provider enabling services like bill splitting and digital receipts</t>
  </si>
  <si>
    <t>Paymark is a New Zealand-based electronic payments provider that processes over 1.5 billion transactions annually</t>
  </si>
  <si>
    <t>HomeOwners Alliance is a London-based property advice platform for homeowners and prospective buyers</t>
  </si>
  <si>
    <t>Wealth.com</t>
  </si>
  <si>
    <t>Charles Schwab, Google Ventures, Citi Ventures</t>
  </si>
  <si>
    <t>Plata</t>
  </si>
  <si>
    <t>Bicycle Capital</t>
  </si>
  <si>
    <t>Slash Financial</t>
  </si>
  <si>
    <t>Deutsche Börse</t>
  </si>
  <si>
    <t>K1x</t>
  </si>
  <si>
    <t>Sumeru Equity Partners</t>
  </si>
  <si>
    <t>Zego</t>
  </si>
  <si>
    <t>Sompo Holdings</t>
  </si>
  <si>
    <t>Wealth.com is a US-based fintech that provides a digital estate and tax planning platform for financial advisors</t>
  </si>
  <si>
    <t>Plata is a Mexican challenger bank offering credit, deposit, and debit services</t>
  </si>
  <si>
    <t>Slash Financial is a San Francisco-based fintech offering business accounts, corporate cards, and payment solutions</t>
  </si>
  <si>
    <t>Kraken is a US-based cryptocurrency exchange</t>
  </si>
  <si>
    <t>K1x is an AI-native private markets tax data platform that automates K-1 data processes</t>
  </si>
  <si>
    <t>Zego is a UK-based digital motor insurer that provides telematics-based insurance products</t>
  </si>
  <si>
    <t>Payward</t>
  </si>
  <si>
    <t>Zengo is a self-custodial crypto wallet provider that uses multi-party computation (MPC) to enhance security</t>
  </si>
  <si>
    <t>Hyper has built a back office automation platform that utilizes AI agents to simplify finance workflows</t>
  </si>
  <si>
    <t>HomeOwners Alliance</t>
  </si>
  <si>
    <t>Mortgage Advice Bureau Holdings</t>
  </si>
  <si>
    <t>EV ($M)</t>
  </si>
  <si>
    <t>Date</t>
  </si>
  <si>
    <t>CENTRL</t>
  </si>
  <si>
    <t>Broadridge Financial Solutions</t>
  </si>
  <si>
    <t>Philippines</t>
  </si>
  <si>
    <t>Salmon</t>
  </si>
  <si>
    <t>Valitana</t>
  </si>
  <si>
    <t>FTV Capital</t>
  </si>
  <si>
    <t>BLP Digital</t>
  </si>
  <si>
    <t>Goldman Sachs Alternatives</t>
  </si>
  <si>
    <t>$50M</t>
  </si>
  <si>
    <t>Monk</t>
  </si>
  <si>
    <t>$25M</t>
  </si>
  <si>
    <t>Provider of AI-powered due diligence solutions for financial institutions</t>
  </si>
  <si>
    <t>Agentic AI-based enterprise resource planning (ERP) automation platform</t>
  </si>
  <si>
    <t>AI-native accounts receivable platform that automates the full contract-to-cash lifecycle for B2B companies</t>
  </si>
  <si>
    <t>Digital banking solutions for underserved consumers in Southeast Asia</t>
  </si>
  <si>
    <t>BEC Financial Technologies</t>
  </si>
  <si>
    <t>Nykredit</t>
  </si>
  <si>
    <t>Open Ledger</t>
  </si>
  <si>
    <t>Collective</t>
  </si>
  <si>
    <t>Latvia</t>
  </si>
  <si>
    <t>KIB Latvia</t>
  </si>
  <si>
    <t>Creditinfo Group</t>
  </si>
  <si>
    <t>Fintool</t>
  </si>
  <si>
    <t>Microsoft</t>
  </si>
  <si>
    <t>Benavest</t>
  </si>
  <si>
    <t>Talon.One</t>
  </si>
  <si>
    <t>Adyen</t>
  </si>
  <si>
    <t>Fiscal FX</t>
  </si>
  <si>
    <t>Lumon</t>
  </si>
  <si>
    <t>CYE</t>
  </si>
  <si>
    <t>LCY</t>
  </si>
  <si>
    <t>Cboe (Australia and Canada Units)</t>
  </si>
  <si>
    <t>Artificial intelligence startup focused on automating qualitative financial analysis</t>
  </si>
  <si>
    <t>London-based foreign exchange and international payments specialist</t>
  </si>
  <si>
    <t>Provider of financial technology and IT solutions for the Danish financial sector, including core banking, data, and AI solutions</t>
  </si>
  <si>
    <t>Provider of equities trading venues, listing venues, and market data solutions</t>
  </si>
  <si>
    <t>Embedded accounting platform with an API that enables SaaS platforms to integrate AI-powered bookkeeping and financial reporting tools</t>
  </si>
  <si>
    <t>Licensed credit information office offering products like company credit history reports and enterprise monitoring</t>
  </si>
  <si>
    <t>National health insurance agency specializing in consumer plans, including individual ACA, Medicare, and ICHRA</t>
  </si>
  <si>
    <t>Platform for loyalty and incentives serving 300+ global merchants</t>
  </si>
  <si>
    <t>Provider of analytics, workflow, and portfolio management solutions for structured credit professionals</t>
  </si>
  <si>
    <t>Footwork, Acrew Capital</t>
  </si>
  <si>
    <t>Edge Home Finance</t>
  </si>
  <si>
    <t>Presidio Investors</t>
  </si>
  <si>
    <t>Mortgage brokerage platform offering innovative technology, operational support, and competitive lending solutions</t>
  </si>
  <si>
    <t>Australia, Canada</t>
  </si>
  <si>
    <t>n.m.</t>
  </si>
  <si>
    <t>4.18-4.24</t>
  </si>
  <si>
    <t>4.25-5.1</t>
  </si>
  <si>
    <t>Kashable</t>
  </si>
  <si>
    <t>Versana</t>
  </si>
  <si>
    <t>Sahi</t>
  </si>
  <si>
    <t>Rogo</t>
  </si>
  <si>
    <t>Zamp</t>
  </si>
  <si>
    <t>TCV and First Harmonic</t>
  </si>
  <si>
    <t>Actively</t>
  </si>
  <si>
    <t>Skio</t>
  </si>
  <si>
    <t>Recharge</t>
  </si>
  <si>
    <t>Counterpart</t>
  </si>
  <si>
    <t>Valor Equity Partners</t>
  </si>
  <si>
    <t>Ebury</t>
  </si>
  <si>
    <t>StreetFair</t>
  </si>
  <si>
    <t>Thumbtack</t>
  </si>
  <si>
    <t>BNP Paribas, Fitch Ventures, MassMutual Ventures</t>
  </si>
  <si>
    <t>Accel, Elevation Capital</t>
  </si>
  <si>
    <t>Kleiner Perkins</t>
  </si>
  <si>
    <t>Acrew Capital, Thomson Reuters Ventures</t>
  </si>
  <si>
    <t>Fun.xyz</t>
  </si>
  <si>
    <t>Multicoin Capital, SignalFire</t>
  </si>
  <si>
    <t>Socially responsible, low-cost credit provider, distributed as an employer-sponsored voluntary benefit</t>
  </si>
  <si>
    <t>Enterprise data and digital infrastructure company transforming the broadly syndicated loan and private credit markets</t>
  </si>
  <si>
    <t>High-performance trading platform focused on fast execution, chart-centric trading, and a mobile-first interface aimed at active retail traders</t>
  </si>
  <si>
    <t>Sales tax compliance platform positioning itself as the operating system for sales tax</t>
  </si>
  <si>
    <t>AI-driven revenue platform designed to shift sales organisations from human-led execution to what it calls Intelligence-Led Revenue</t>
  </si>
  <si>
    <t>AI-driven specialty InsurTech offering improved management and professional liability solutions for underwriting, risk management and claims resolution</t>
  </si>
  <si>
    <t>Global payments infrastructure company that enables enterprise-grade platforms to move value across fiat and digital asset systems at scale</t>
  </si>
  <si>
    <t>Precept</t>
  </si>
  <si>
    <t>Till Financial</t>
  </si>
  <si>
    <t>Western &amp; Southern Financial Group</t>
  </si>
  <si>
    <t>AI Financial Corporation</t>
  </si>
  <si>
    <t>Block Street</t>
  </si>
  <si>
    <t>Doyen AI</t>
  </si>
  <si>
    <t>Machine learning platform that automates the transfer of legacy financial records to ERP and billing solutions</t>
  </si>
  <si>
    <t>SMS Stiewi</t>
  </si>
  <si>
    <t>MACH</t>
  </si>
  <si>
    <t>Specialized provider of travel and expense management solutions for public institutions</t>
  </si>
  <si>
    <t>ARR</t>
  </si>
  <si>
    <t>Article</t>
  </si>
  <si>
    <t>Recurring payment processing solutions provider</t>
  </si>
  <si>
    <t>Premier provider of data, insights, and technology solutions to the structured finance, commercial real estate, and banking sectors</t>
  </si>
  <si>
    <t>Trepp</t>
  </si>
  <si>
    <t>Fitch</t>
  </si>
  <si>
    <t>CP Intel</t>
  </si>
  <si>
    <t>Complex Coverage</t>
  </si>
  <si>
    <t>Newport Specialty Partners</t>
  </si>
  <si>
    <t>Leading managing general agency focused on homeowners and personal lines coverage in New York</t>
  </si>
  <si>
    <t>TC Financial</t>
  </si>
  <si>
    <t>Integrity</t>
  </si>
  <si>
    <t>Midwestern agency providing life and health insurance, as well as annuities</t>
  </si>
  <si>
    <t>Shopflo</t>
  </si>
  <si>
    <t>Pine Labs</t>
  </si>
  <si>
    <t>Australia</t>
  </si>
  <si>
    <t>ANZ</t>
  </si>
  <si>
    <t>ANZ Worldline (JV)</t>
  </si>
  <si>
    <t>Finland</t>
  </si>
  <si>
    <t>CoreGo</t>
  </si>
  <si>
    <t>Bregal Milestone</t>
  </si>
  <si>
    <t>Leading provider of open-loop payments and integrated technology solutions for festivals, sports events, and venues across Europe</t>
  </si>
  <si>
    <t>Provider of a platform that helps homeowners find and coordinate home services based on recommendations from neighbors</t>
  </si>
  <si>
    <t>Wealth technology platform transforming how FinTech and wealth management providers build, deploy, and maintain system integrations</t>
  </si>
  <si>
    <t>Leading family banking platform helping families raise smarter spenders</t>
  </si>
  <si>
    <t>E-commerce enablement platform that offers businesses a customizable checkout system designed to streamline the online buying process</t>
  </si>
  <si>
    <t>Payment solutions provider to Australian businesses, including point-of-sale and online payments (previously a JV between ANZ and Worldline)</t>
  </si>
  <si>
    <t>Centerbridge, Vitruvian Partners, Santander</t>
  </si>
  <si>
    <t>International trade platform, allowing businesses to open local accounts, manage 140+ currencies, and facilitate cross-border payments</t>
  </si>
  <si>
    <t>AI tools for investment banks and private equity firms to automate repetitive tasks like financial modelling and investment memo drafting</t>
  </si>
  <si>
    <t xml:space="preserve">On-chain capital formation platform with infrastructure designed to facilitate compliant tokenized offerings </t>
  </si>
  <si>
    <t>5.2-5.8</t>
  </si>
  <si>
    <t>Bullish</t>
  </si>
  <si>
    <t>Equiniti</t>
  </si>
  <si>
    <t>LeafHouse Financial Advisors</t>
  </si>
  <si>
    <t>Mesirow</t>
  </si>
  <si>
    <t>LeafHouse Financial Advisors specializes in creating investment strategies for retirement plans through enterprise-grade technology, fiduciary services, co-manufactured investment vehicles, personalized managed accounts, and IRA and HSA solutions</t>
  </si>
  <si>
    <t>Equiniti operates as a transfer agent that helps organizations manage shareholder records and transactions, administer cap tables, execute corporate actions, and handle proxy solicitation and governance analytics</t>
  </si>
  <si>
    <t>IndiaLends</t>
  </si>
  <si>
    <t>Freo</t>
  </si>
  <si>
    <t>MoonPay</t>
  </si>
  <si>
    <t>DFlow</t>
  </si>
  <si>
    <t>Dflow's Agent CLI allows developers to provision trading agents with a Solana wallet and execution capabilities in a single step, while integrations with MoonPay's CLI enable funding from fiat to crypto</t>
  </si>
  <si>
    <t>IndiaLends is a digital marketplace that helps consumers find and apply for personal loans, credit cards, and credit-building products</t>
  </si>
  <si>
    <t>Amex GBT</t>
  </si>
  <si>
    <t>Long Lake Management</t>
  </si>
  <si>
    <t>Amex GBT is a joint venture between Amex and several investors offering travel and expense management solutions, travel booking SaaS services, and a global hotel and supplier marketplace program</t>
  </si>
  <si>
    <t>Apax</t>
  </si>
  <si>
    <t>Sedex provides a technology platform, tools, and services to help businesses manage and improve ethical, social, and environmental performance in their supply chains</t>
  </si>
  <si>
    <t>Sedex Information Exchange</t>
  </si>
  <si>
    <t>VeloLife offers specialist insurance products, such as bike insurance, at the point of sale through dealer partnerships</t>
  </si>
  <si>
    <t>VeloLife</t>
  </si>
  <si>
    <t>Laka</t>
  </si>
  <si>
    <t>Oculus Underwriters</t>
  </si>
  <si>
    <t>K2 Insurance Services</t>
  </si>
  <si>
    <t>Oculus is a specialist property MGA focusing on bespoke property insurance solutions for the small to medium-sized commercial market</t>
  </si>
  <si>
    <t>Carrington</t>
  </si>
  <si>
    <t>Valon Mortgage</t>
  </si>
  <si>
    <t>Valon Mortgage is a technology-driven mortgage servicer and lender that aims to modernize how homeowners manage their loans</t>
  </si>
  <si>
    <t>Centrifuge</t>
  </si>
  <si>
    <t>Tessera Labs</t>
  </si>
  <si>
    <t>a16z</t>
  </si>
  <si>
    <t>XBOW</t>
  </si>
  <si>
    <t>Reserv</t>
  </si>
  <si>
    <t>Kalshi is a CFTC-regulated prediction market offering event contracts throughout the US</t>
  </si>
  <si>
    <t>Centrifuge’s tokenization service allows institutions to launch vaults without constructing their own infrastructure</t>
  </si>
  <si>
    <t>Tessera Labs is a vendor-agnostic, multi-agent AI platform that transforms how enterprises modernize complex ERP systems and data</t>
  </si>
  <si>
    <t>Accenture Ventures, DNX Ventures</t>
  </si>
  <si>
    <t>XBOW’s platform uses AI to continuously identify and exploit vulnerabilities in applications to continually test security</t>
  </si>
  <si>
    <t>KKR</t>
  </si>
  <si>
    <t>Reserv is an AI-native third-party administrator and claims technology provider for the property and casualty insurance sector</t>
  </si>
  <si>
    <t>Reap</t>
  </si>
  <si>
    <t>Reap is a leading stablecoin-native, card issuing and payments infrastructure company enabling global money movement</t>
  </si>
  <si>
    <t>Corgi offers coverage for general liability, cyber liability, and tech and AI liability</t>
  </si>
  <si>
    <t>5.9-5.15</t>
  </si>
  <si>
    <t>Paymentology</t>
  </si>
  <si>
    <t>Apis Partners, Aspirity Partners</t>
  </si>
  <si>
    <t>Frame Security</t>
  </si>
  <si>
    <t>Index Ventures, Team8, Picture Capital</t>
  </si>
  <si>
    <t>Human risk security platform using AI to defend organizations against social engineering and deepfake attacks</t>
  </si>
  <si>
    <t>Embat</t>
  </si>
  <si>
    <t>Cathay Innovation</t>
  </si>
  <si>
    <t>AI-powered treasury FinTech with services supporting payments, accounting, and reconciliation tasks</t>
  </si>
  <si>
    <t>Stitch</t>
  </si>
  <si>
    <t>Saudi Arabia</t>
  </si>
  <si>
    <t>Operating system built for modern financial institutions unlocking an expanding set of use cases from lending and cards to payments and ledgers</t>
  </si>
  <si>
    <t>Elliptic</t>
  </si>
  <si>
    <t>One Peak</t>
  </si>
  <si>
    <t>Equipifi</t>
  </si>
  <si>
    <t>Left Lane Capital</t>
  </si>
  <si>
    <t>Embedded BNPL provider helping banks and credit untions include installment lending directly in their digital banking platforms</t>
  </si>
  <si>
    <t>SBI Group, Investcorp</t>
  </si>
  <si>
    <t>PrimaryBid</t>
  </si>
  <si>
    <t>SoFi</t>
  </si>
  <si>
    <t>Provider of a suite of retail capital-raising solutions that provide access to IPOs, follow-on offerings, block sales, and fixed income transactions</t>
  </si>
  <si>
    <t>InvestHub</t>
  </si>
  <si>
    <t>Dynamo Software</t>
  </si>
  <si>
    <t>Specialized platform designed to digitize workflows for private equity and asset management firms</t>
  </si>
  <si>
    <t>Uruguay</t>
  </si>
  <si>
    <t>Brinta</t>
  </si>
  <si>
    <t>Vertex</t>
  </si>
  <si>
    <t>Provider of services for tax determination, electronic invoicing, and automated compliance fillings for tax returns</t>
  </si>
  <si>
    <t>Finadium</t>
  </si>
  <si>
    <t>EquiLend</t>
  </si>
  <si>
    <t>Coupa</t>
  </si>
  <si>
    <t>Rossum</t>
  </si>
  <si>
    <t>Provider of transactional large language model software that automatically processes business documents, including invoices</t>
  </si>
  <si>
    <t>Royu</t>
  </si>
  <si>
    <t>Numero AI</t>
  </si>
  <si>
    <t>Avantia</t>
  </si>
  <si>
    <t>Agenium</t>
  </si>
  <si>
    <t>Cloud-based, no-code platform that  enables insurers to design and manage underwriting workflows in a flexible, scalable environment</t>
  </si>
  <si>
    <t>Holder of direct relationships enabling local, instant bank payments for merchants</t>
  </si>
  <si>
    <t>PayModum</t>
  </si>
  <si>
    <t>Floid</t>
  </si>
  <si>
    <t>Partenea</t>
  </si>
  <si>
    <t>Misterplan</t>
  </si>
  <si>
    <t>Consultancy firm specializing in securities lending, repo, collateral management, central counterparties, regulations, and capital markets infrastructure</t>
  </si>
  <si>
    <t>AI-powered platform that helps finance teams automate repetitive workflows such as bookkeeping, invoice processing, reconciliation, and month-end close</t>
  </si>
  <si>
    <t>AI-focused legal and compliance administration software helping PE and asset management firms manage functions like contract negotiations, onboarding, and reporting</t>
  </si>
  <si>
    <t>Unified vertical software provider for the hospitality sector, combining a PMS, booking engine, channel manager, and activities and events manager</t>
  </si>
  <si>
    <t>Leading global issuer-processor with a configurable, cloud-native platform, enabling real-time processing at scale for clients across 68 countries</t>
  </si>
  <si>
    <t>RegTech platform helping financial institutions detect and prevent cryptocurrency-related financial crime through real-time analytics</t>
  </si>
  <si>
    <t>Stablecoin neobank for emerging markets offering multi-currency accounts, debit cards, and investment services for digital and tokenized real-world assets</t>
  </si>
  <si>
    <t>5.16-5.22</t>
  </si>
  <si>
    <t>Farther</t>
  </si>
  <si>
    <t>Digital wealth management firm that integrates human advisors with automated advisory software to manage portfolios and cash liquidity</t>
  </si>
  <si>
    <t>Moment</t>
  </si>
  <si>
    <t>Provider of a unified AI operating system for trading, portfolio management, and compliance across asst classes and currencies</t>
  </si>
  <si>
    <t>Bunch</t>
  </si>
  <si>
    <t>AI-native fund operations platform targeting private markets, handling documentation and data with human oversight</t>
  </si>
  <si>
    <t>Mercury</t>
  </si>
  <si>
    <t>Digital banking provider tailored for startups' unique needs</t>
  </si>
  <si>
    <t>Catena Labs</t>
  </si>
  <si>
    <t>Acrew Capital, a16z Crypto</t>
  </si>
  <si>
    <t>Regulated financial infrastructure provider specifically designed for AI agents creating rules, permissions, and audit trails</t>
  </si>
  <si>
    <t>Baillie Gifford, Layer Global</t>
  </si>
  <si>
    <t>Prediction market provider offering financial markets on the outcome of real world events</t>
  </si>
  <si>
    <t>SignalPlus</t>
  </si>
  <si>
    <t>HashKey</t>
  </si>
  <si>
    <t>Institutional-grade infrastructure platform in crypto derivatives focusing on option trading systems, automated market-making, and structured products</t>
  </si>
  <si>
    <t>Forestay Capital, Notion Capital</t>
  </si>
  <si>
    <t>Pivot</t>
  </si>
  <si>
    <t>Enterprise-grade AI operating system built from the system of record up, managing the complete procurement lifecycle</t>
  </si>
  <si>
    <t>Relay</t>
  </si>
  <si>
    <t>Digital banking for small businesses providing visibility by connecting accounts, cards, bills, invoices, capital, and more together in one place</t>
  </si>
  <si>
    <t>Sardine</t>
  </si>
  <si>
    <t>National Bank of Canada</t>
  </si>
  <si>
    <t>Agentic risk solution designed to help banks detect and prevent fraud without creating unnecessary friction for genuine customers</t>
  </si>
  <si>
    <t>Primer</t>
  </si>
  <si>
    <t>Sofina</t>
  </si>
  <si>
    <t>Unified infrastructure for global payments giving finance and payments teams the visibility and control to reduce complexity</t>
  </si>
  <si>
    <t>Provider of loan management and servicing software to banks, credit unions, and FinTechs</t>
  </si>
  <si>
    <t>Portfolio of FinTech investments including companies focused on financial infrastructure modernization and the expansion of access to capital</t>
  </si>
  <si>
    <t>Fidelity Intl. Strategic Ventures Portfolio</t>
  </si>
  <si>
    <t>Akamai</t>
  </si>
  <si>
    <t>LayerX</t>
  </si>
  <si>
    <t>Provider of browser-native AI usage control and secure enterprise browser technology</t>
  </si>
  <si>
    <t>Ascend</t>
  </si>
  <si>
    <t>Honor Capital</t>
  </si>
  <si>
    <t>Provider of market-leading premium finance solutions to insurance agents, brokers, and industry partners nationwide</t>
  </si>
  <si>
    <t>NMI</t>
  </si>
  <si>
    <t>Dwolla</t>
  </si>
  <si>
    <t>Operator of payment APIs that let businesses move money between US bank accounts using domestic real-time networks like ACH and RTP</t>
  </si>
  <si>
    <t>Smovin</t>
  </si>
  <si>
    <t>Skoyen</t>
  </si>
  <si>
    <t>Software provider helping landlords and property managers handle recurring rental administration tasks such as tracking payments and indexing rents</t>
  </si>
  <si>
    <t>Peach Finance</t>
  </si>
  <si>
    <t>5.23-5.29</t>
  </si>
  <si>
    <t>Derivitec</t>
  </si>
  <si>
    <t>ActiveViam</t>
  </si>
  <si>
    <t>High-performance, cross-asset derivatives and FX specialist platform, providing risk analytics and reporting across capital markets</t>
  </si>
  <si>
    <t>Funded Trading Plus</t>
  </si>
  <si>
    <t>Instant Funding</t>
  </si>
  <si>
    <t>Technology-focused proprietary trading firm offering funded trading products and trader evaluation services</t>
  </si>
  <si>
    <t>PwC Indirect Tax Edge</t>
  </si>
  <si>
    <t>Fonoa</t>
  </si>
  <si>
    <t>Enterprise-grade indirect tax compliance system used to manage VAT/GST compliance reporting, e-filing, transactional data, and tax analytics</t>
  </si>
  <si>
    <t>CoStar</t>
  </si>
  <si>
    <t>Zonda</t>
  </si>
  <si>
    <t>Provider of new home construction data, homebuilder software, and residential real estate marketplaces</t>
  </si>
  <si>
    <t>Brooklyn Fi</t>
  </si>
  <si>
    <t>Accelerated Wealth Partners</t>
  </si>
  <si>
    <t>Wealth and tax advisory firm that serves clients with complex equity compensation</t>
  </si>
  <si>
    <t>Saris</t>
  </si>
  <si>
    <t>8VC</t>
  </si>
  <si>
    <t>Capchase</t>
  </si>
  <si>
    <t>01 Advisors</t>
  </si>
  <si>
    <t>Vendor financing platform and lender for enterprise technology companies</t>
  </si>
  <si>
    <t>AI operating system for enterprise procurement</t>
  </si>
  <si>
    <t>Daloopa</t>
  </si>
  <si>
    <t>Financial data layer that sources, structures, and distributes its historical financial dataset covering 5,500+ public companies globally</t>
  </si>
  <si>
    <t>Valuation ($M)</t>
  </si>
  <si>
    <t>Full-stack insurance carrier building better, faster insurance products tailored to startups</t>
  </si>
  <si>
    <t>Pace</t>
  </si>
  <si>
    <t>Thrive Capital, Sequoia Capital</t>
  </si>
  <si>
    <t>AI operations partner for insurers offering AI agents that automate manual back-office tasks</t>
  </si>
  <si>
    <t>Scapia</t>
  </si>
  <si>
    <t>Provider of co-branded travel credit cards with zero FX markup on international transactions and airport privileges</t>
  </si>
  <si>
    <t>Headline</t>
  </si>
  <si>
    <t>Autonomous tax operating system built on modular infrastructure to cover the full indirect tax lifecycle</t>
  </si>
  <si>
    <t>Type</t>
  </si>
  <si>
    <t>ma</t>
  </si>
  <si>
    <t>https://www.fintechfutures.com/m-a/scripbox-purchases-bluechip-capital-mutual-fund-distribution-business</t>
  </si>
  <si>
    <t>Good</t>
  </si>
  <si>
    <t>scripbox</t>
  </si>
  <si>
    <t>funding</t>
  </si>
  <si>
    <t>https://fintech.global/2026/06/02/gradient-labs-raises-26m-to-build-ai-agents-for-banks/?_gl=1*1j8jk2x*_up*MQ..*_gs*MQ..&amp;gclid=EAIaIQobChMIvvq08u71lAMVjklHAR338zNaEAAYASAAEgJvmfD_BwE</t>
  </si>
  <si>
    <t>gradient labs</t>
  </si>
  <si>
    <t xml:space="preserve">https://fintech.global/2026/06/01/saris-raises-28-8m-to-automate-bank-back-offices/?_gl=1*4pg0mp*_up*MQ..*_gs*MQ..&amp;gclid=EAIaIQobChMIvvq08u71lAMVjklHAR338zNaEAAYASAAEgJvmfD_BwE </t>
  </si>
  <si>
    <t>Move to Banking &amp; Lending Tech</t>
  </si>
  <si>
    <t>saris</t>
  </si>
  <si>
    <t xml:space="preserve">https://www.finastra.com/press-media/cora-group-acquires-finastras-phoenix-core-system-malauzai-digital-banking-and-fusion </t>
  </si>
  <si>
    <t>finastra</t>
  </si>
  <si>
    <t xml:space="preserve">https://www.fintechfutures.com/m-a/airwallex-snaps-up-leapfin </t>
  </si>
  <si>
    <t>Move to Corporate Financial Function</t>
  </si>
  <si>
    <t>airwallex</t>
  </si>
  <si>
    <t>Ramp hits $44bn valuation with landmark Series F</t>
  </si>
  <si>
    <t>ramp</t>
  </si>
  <si>
    <t>AlphaSense raises $350m at $7.5bn valuation</t>
  </si>
  <si>
    <t>alphasense</t>
  </si>
  <si>
    <t xml:space="preserve">https://www.wtwco.com/en-gb/news/2026/06/wtw-acquires-redefind-to-strengthen-digital-asset-protection-offering </t>
  </si>
  <si>
    <t>redefined</t>
  </si>
  <si>
    <t>Insurwave sells AI submission ingestion capability to Portage AI</t>
  </si>
  <si>
    <t>insurwave</t>
  </si>
  <si>
    <t>Honeycomb Insurance raises $40m in Zeev Ventures-led round</t>
  </si>
  <si>
    <t>honeycomb</t>
  </si>
  <si>
    <t xml:space="preserve">https://fintech.global/2026/06/04/forage-targets-one-million-families-with-40m-funding-round/?_gl=1*1362rs2*_up*MQ..*_gs*MQ..&amp;gclid=EAIaIQobChMIvvq08u71lAMVjklHAR338zNaEAAYASAAEgJvmfD_BwE </t>
  </si>
  <si>
    <t>forage</t>
  </si>
  <si>
    <t>Leapfin</t>
  </si>
  <si>
    <t>AlphaSense</t>
  </si>
  <si>
    <t>PEER DATA</t>
  </si>
  <si>
    <t>Lukka</t>
  </si>
  <si>
    <t>Honeycomb Insurance</t>
  </si>
  <si>
    <t>Fee Navigator</t>
  </si>
  <si>
    <t>Absolute Payment Solutions</t>
  </si>
  <si>
    <t>XFolio AI</t>
  </si>
  <si>
    <t>Vitruvian Partners, Accenture Ventures, J.P. Morgan Asset Mgmt</t>
  </si>
  <si>
    <t>Mortgage Forward</t>
  </si>
  <si>
    <t>https://www.housingwire.com/articles/mortgage-forward-first-federal-tpo/</t>
  </si>
  <si>
    <t>5.30-6.5</t>
  </si>
  <si>
    <t>Finastra (US Mid-Market Banking Business)</t>
  </si>
  <si>
    <t>CORA Group</t>
  </si>
  <si>
    <t>Portfolio of core banking, digital banking and related businesses used by hundreds  of banks and credit unions across the United States</t>
  </si>
  <si>
    <t>Premier financial data automation platform specializing in revenue recognition and reconciliation</t>
  </si>
  <si>
    <t>Provider of data-provenance and compliance infrastructure for digital assets</t>
  </si>
  <si>
    <t>Specialist provider of AI-powered pricing intelligence for payments companies</t>
  </si>
  <si>
    <t>Provider of cloud‑based payment and banking solutions to businesses, specialising in BACS‑approved software and services</t>
  </si>
  <si>
    <t>First Federal Bank (TPO Division)</t>
  </si>
  <si>
    <t>Provider of turnkey mortgage processing, underwriting, and loan servicing solutions for community banks and credit unions</t>
  </si>
  <si>
    <t>Provider of agentic workflow tools designed to automate up to 70% of back-office consumer, mortgage, and commercial lending tasks</t>
  </si>
  <si>
    <t>ICONIQ, GIC, OTPP</t>
  </si>
  <si>
    <t>Financial operations and spend management platform combining corporate cards, expense reporting, bill payments, and more</t>
  </si>
  <si>
    <t>AI-powered market intelligence and search platform designed for financial, corporate, and competitive research</t>
  </si>
  <si>
    <t>Tech-driven managing general agent that specializes in commercial property and liability insurance for real estate</t>
  </si>
  <si>
    <t>Kpler</t>
  </si>
  <si>
    <t>Leading provider of global physical trade intelligence data and analytics</t>
  </si>
  <si>
    <t>Forage</t>
  </si>
  <si>
    <t>Mouro Capital</t>
  </si>
  <si>
    <t>Mission-driven financial infrastructure platform making it easy for retailers to accept benefits like SNAP, WIC, and HSA/FSA</t>
  </si>
  <si>
    <t>Blockfills</t>
  </si>
  <si>
    <t>Keyrock</t>
  </si>
  <si>
    <t>Provider of crypto lending, borrowing, derivatives trading, and OTC execution for digital assets to institutional clients</t>
  </si>
  <si>
    <t>Veli</t>
  </si>
  <si>
    <t>Penning</t>
  </si>
  <si>
    <t>Regulated digital asset platform based in the EU that simplifies smart cryptocurrency and tokenized asset investing</t>
  </si>
  <si>
    <t>08-Jun-26</t>
  </si>
  <si>
    <t>additiv</t>
  </si>
  <si>
    <t>Temenos</t>
  </si>
  <si>
    <t>LevPro</t>
  </si>
  <si>
    <t>Octus</t>
  </si>
  <si>
    <t>Provider of front-office portfolio management and trading software purpose-built for CLO and private credit managers</t>
  </si>
  <si>
    <t>11-Jun-26</t>
  </si>
  <si>
    <t>Orb</t>
  </si>
  <si>
    <t>m3ter</t>
  </si>
  <si>
    <t>Salesforce</t>
  </si>
  <si>
    <t>Messari</t>
  </si>
  <si>
    <t>Blockworks</t>
  </si>
  <si>
    <t>10-Jun-26</t>
  </si>
  <si>
    <t>RiskFront AI</t>
  </si>
  <si>
    <t>K2 Integrity</t>
  </si>
  <si>
    <t>12-Jun-26</t>
  </si>
  <si>
    <t>Kiavi</t>
  </si>
  <si>
    <t>Figure</t>
  </si>
  <si>
    <t>AI-powered non-bank lending platform providing fix-and-flip and rental financing to residential real-estate investors</t>
  </si>
  <si>
    <t>Hypha</t>
  </si>
  <si>
    <t>TriEdge Investments</t>
  </si>
  <si>
    <t>Current</t>
  </si>
  <si>
    <t>Springcoast Partners</t>
  </si>
  <si>
    <t>Digital banking provider offering spending, savings, and credit-building accounts tailored to everyday US consumers</t>
  </si>
  <si>
    <t>EDGE Markets</t>
  </si>
  <si>
    <t>CoinFund</t>
  </si>
  <si>
    <t>Builder of banking and payment-rail infrastructure (EDGE Connect and EDGE Pro) for CFTC-regulated prediction markets and gaming</t>
  </si>
  <si>
    <t>Digital Asset</t>
  </si>
  <si>
    <t>a16z crypto</t>
  </si>
  <si>
    <t>09-Jun-26</t>
  </si>
  <si>
    <t>NinjaOne</t>
  </si>
  <si>
    <t>Wellington Management, ICONIQ, Sequoia</t>
  </si>
  <si>
    <t>Poetic</t>
  </si>
  <si>
    <t>Developer of deterministic AI that automates complex, multi-step insurance and enterprise back-office processes</t>
  </si>
  <si>
    <t>Egypt</t>
  </si>
  <si>
    <t>Blnk</t>
  </si>
  <si>
    <t>Algebra Ventures</t>
  </si>
  <si>
    <t>Canada</t>
  </si>
  <si>
    <t>nesto</t>
  </si>
  <si>
    <t>La Caisse</t>
  </si>
  <si>
    <t>AI-driven mortgage technology and financing platform combining direct lending with white-label cloud software for lenders</t>
  </si>
  <si>
    <t>Cloud-based software platform that helps B2B enterprise and scale-up companies automate and manage complex usage-based pricing models</t>
  </si>
  <si>
    <t>Crypto market intelligence platform that provides comprehensive data, research, and monitoring tools for the digital asset industry</t>
  </si>
  <si>
    <t>6.6-6.12</t>
  </si>
  <si>
    <t>Provider of tooling that allows firms to record, move and settle assets on shared digital ledgers</t>
  </si>
  <si>
    <t>IT platform delivering endpoint management, autonomous patching, backup, and remote access</t>
  </si>
  <si>
    <t>AI-powered point-of-sale financing</t>
  </si>
  <si>
    <t>Provider of an AI-driven orchestration platform that lets banks, insurers, and wealth managers launch digital wealth products</t>
  </si>
  <si>
    <t>Revenue design platform for AI and SaaS companies, unifying pricing, billing and revenue intelligence</t>
  </si>
  <si>
    <t>Agentic AI risk solution designed to help banks frictionlessly detect and prevent financial crime and automate AML compliance</t>
  </si>
  <si>
    <t>16-Jun-26</t>
  </si>
  <si>
    <t>Open Lending</t>
  </si>
  <si>
    <t>ANV Group Holdings</t>
  </si>
  <si>
    <t>19-Jun-26</t>
  </si>
  <si>
    <t>Finastra (Universal Banking)</t>
  </si>
  <si>
    <t>18-Jun-26</t>
  </si>
  <si>
    <t>Celero Commerce</t>
  </si>
  <si>
    <t>Deluxe</t>
  </si>
  <si>
    <t>17-Jun-26</t>
  </si>
  <si>
    <t>Fathom Holdings</t>
  </si>
  <si>
    <t>Beyond (Bed Bath &amp; Beyond)</t>
  </si>
  <si>
    <t>Technology-driven real estate services platform spanning residential brokerage, mortgage, title, and agent SaaS tools</t>
  </si>
  <si>
    <t>PayCaptain</t>
  </si>
  <si>
    <t>Citation</t>
  </si>
  <si>
    <t>Festina Finance</t>
  </si>
  <si>
    <t>Birchway Capital</t>
  </si>
  <si>
    <t>14-Jun-26</t>
  </si>
  <si>
    <t>D360 Bank</t>
  </si>
  <si>
    <t>Public Investment Fund, Derayah Financial</t>
  </si>
  <si>
    <t>Chronograph</t>
  </si>
  <si>
    <t>Portfolio monitoring, reporting, and diligence software for private capital investors across private equity and private credit</t>
  </si>
  <si>
    <t>HPS Investment Partners</t>
  </si>
  <si>
    <t>AI-native compliance and risk platform that unifies communications surveillance and controls for banks, asset managers, and other regulated institutions</t>
  </si>
  <si>
    <t>Connie Health</t>
  </si>
  <si>
    <t>HealthQuest Capital</t>
  </si>
  <si>
    <t>AI-enabled Medicare insurance distribution platform</t>
  </si>
  <si>
    <t>Cross-border payments platform powering merchant payments, payouts, and remittances across Africa and other emerging markets</t>
  </si>
  <si>
    <t>15-Jun-26</t>
  </si>
  <si>
    <t>Interchecks</t>
  </si>
  <si>
    <t>Instant payments and money-movement infrastructure serving sportsbooks, fintechs, and financial institutions through a single API</t>
  </si>
  <si>
    <t>BIPO</t>
  </si>
  <si>
    <t>Apis Partners</t>
  </si>
  <si>
    <t>Payroll-payments and embedded workforce-finance platform offering global payroll, HR management, and employer-of-record services across 170+ markets</t>
  </si>
  <si>
    <t>Trace Finance</t>
  </si>
  <si>
    <t>Regulated cross-border banking and stablecoin-settlement infrastructure connecting the US, Brazil, and other emerging markets</t>
  </si>
  <si>
    <t>Digital bank providing consumer and SME financing, deposits, and API-banking services</t>
  </si>
  <si>
    <t>Cloud-native, modular system-of-record platform for pensions, life insurance, and financial planning</t>
  </si>
  <si>
    <t>Provider of loan analytics, risk-based pricing, risk modeling, and default insurance to auto lenders</t>
  </si>
  <si>
    <t>Provider of mission-critical core banking software spanning accounts, deposits, payments, and lending</t>
  </si>
  <si>
    <t>Integrated payment-processing and business-management platform for small and mid-sized merchants</t>
  </si>
  <si>
    <t>Payroll software that automates salary processing for UK businesses</t>
  </si>
  <si>
    <t>Nuvei</t>
  </si>
  <si>
    <t>Financial platform for cross-border business and global payments</t>
  </si>
  <si>
    <t>Bettor Capital, Commerce Ventures, Decades Holdings, and more</t>
  </si>
  <si>
    <t>United States</t>
  </si>
  <si>
    <t>22-Jun-26</t>
  </si>
  <si>
    <t>Fomo</t>
  </si>
  <si>
    <t>Social-first consumer app simplifying on-chain crypto trading</t>
  </si>
  <si>
    <t>24-Jun-26</t>
  </si>
  <si>
    <t>Arca</t>
  </si>
  <si>
    <t>AI-native wealth management firm delivering personalized, advisor-led financial services</t>
  </si>
  <si>
    <t>Taktile</t>
  </si>
  <si>
    <t>Agentic decisioning platform automating credit, fraud, and underwriting decisions for banks and insurers</t>
  </si>
  <si>
    <t>Float Financial</t>
  </si>
  <si>
    <t>Inovia Capital</t>
  </si>
  <si>
    <t>26-Jun-26</t>
  </si>
  <si>
    <t>Warp</t>
  </si>
  <si>
    <t>AI-native HR and payroll platform automating tax, compliance, and benefits for high-growth companies</t>
  </si>
  <si>
    <t>Andera</t>
  </si>
  <si>
    <t>AI-native platform automating the internal audit and SOX/compliance-testing function</t>
  </si>
  <si>
    <t>23-Jun-26</t>
  </si>
  <si>
    <t>Allium</t>
  </si>
  <si>
    <t>Amplify Partners</t>
  </si>
  <si>
    <t>Prosus</t>
  </si>
  <si>
    <t>CRED</t>
  </si>
  <si>
    <t>Meta</t>
  </si>
  <si>
    <t>Global cross-border payments and business-banking infrastructure for companies</t>
  </si>
  <si>
    <t>Square Yards</t>
  </si>
  <si>
    <t>EAAA Alternatives</t>
  </si>
  <si>
    <t>Kasisto</t>
  </si>
  <si>
    <t>Backbase</t>
  </si>
  <si>
    <t>Entendre</t>
  </si>
  <si>
    <t>AI accounting agents automating bookkeeping and reporting for stablecoin and digital-asset businesses</t>
  </si>
  <si>
    <t>Matic</t>
  </si>
  <si>
    <t>Business finance platform offering corporate cards, expense management, bill pay, and high-yield accounts</t>
  </si>
  <si>
    <t>Blockchain data platform standardizing and enriching on-chain data</t>
  </si>
  <si>
    <t>Digital health insurer pairing insurance with a prevention and care platform</t>
  </si>
  <si>
    <t>Consumer fintech for credit-card bill payments, rewards, and lending to high-credit-score members</t>
  </si>
  <si>
    <t>Real-estate transaction and mortgage / loan-distribution platform</t>
  </si>
  <si>
    <t>Novel Financial Holdings</t>
  </si>
  <si>
    <t>Flexpoint Ford</t>
  </si>
  <si>
    <t>Underwriting and insurance-services platform managing reciprocal exchanges and traditional stock insurers</t>
  </si>
  <si>
    <t>Marstone</t>
  </si>
  <si>
    <t>FusionIQ</t>
  </si>
  <si>
    <t>Digital wealth-management platform (digital advice, financial planning and wellness) for banks, credit unions, and wealth managers</t>
  </si>
  <si>
    <t>First Street</t>
  </si>
  <si>
    <t>Agentic/conversational AI for banking</t>
  </si>
  <si>
    <t>AI-powered climate-financial intelligence platform that converts physical climate risk into property- and portfolio-level financial risk metrics</t>
  </si>
  <si>
    <t>Primus Capital</t>
  </si>
  <si>
    <t>Embedded insurtech platform that enables lenders, banks, and financial institutions to offer personalized home and auto insurance digitally</t>
  </si>
  <si>
    <t>Goldman Sachs Growth Equity</t>
  </si>
  <si>
    <t>01-Jul-26</t>
  </si>
  <si>
    <t>Objectway</t>
  </si>
  <si>
    <t>02-Jul-26</t>
  </si>
  <si>
    <t>Wealth8</t>
  </si>
  <si>
    <t>LemFi</t>
  </si>
  <si>
    <t>29-Jun-26</t>
  </si>
  <si>
    <t>30-Jun-26</t>
  </si>
  <si>
    <t>Carbon Underwriting</t>
  </si>
  <si>
    <t>CAWL</t>
  </si>
  <si>
    <t>Crédit Agricole</t>
  </si>
  <si>
    <t>MDOTM</t>
  </si>
  <si>
    <t>Expedition Growth Capital</t>
  </si>
  <si>
    <t>Jota</t>
  </si>
  <si>
    <t>AI-powered digital business account and banking platform for Brazilian entrepreneurs and small businesses</t>
  </si>
  <si>
    <t>Nebex</t>
  </si>
  <si>
    <t>LeapXpert</t>
  </si>
  <si>
    <t>Governed-communications platform capturing and supervising WhatsApp, iMessage and WeChat business messaging for banks, financial institutions and government agencies</t>
  </si>
  <si>
    <t>Quantifind</t>
  </si>
  <si>
    <t>FNZ Switzerland</t>
  </si>
  <si>
    <t>Cubit Labs</t>
  </si>
  <si>
    <t>Finova</t>
  </si>
  <si>
    <t>Provider of cloud-based wealth management and investment platform software</t>
  </si>
  <si>
    <t>FCA-regulated digital wealth and investment platform serving Black and multi-ethnic communities</t>
  </si>
  <si>
    <t>AI startup automating intermediary workflows for mortgage advisers, including document processing and compliance checks</t>
  </si>
  <si>
    <t>AI-driven investment platform delivering portfolio insights for 60+ asset and wealth managers</t>
  </si>
  <si>
    <t>Exchange-layer market infrastructure connecting space companies with sovereign buyers and deal capital</t>
  </si>
  <si>
    <t>AI-native risk intelligence platform for financial-crime screening and AML</t>
  </si>
  <si>
    <t>Provider of AI-powered commercial insurance underwriting and distribution solutions</t>
  </si>
  <si>
    <t>Provider of integrated merchant payment acceptance and acquiring solutions in France; was a JV between Crédit Agricole and Worldline</t>
  </si>
  <si>
    <t>Google Ventures</t>
  </si>
  <si>
    <t>Summit Partners</t>
  </si>
  <si>
    <t>Riverwood</t>
  </si>
  <si>
    <t>Colombia</t>
  </si>
  <si>
    <t>Addi</t>
  </si>
  <si>
    <t>Taxwire</t>
  </si>
  <si>
    <t>Straiker</t>
  </si>
  <si>
    <t>Marathon Management Partners</t>
  </si>
  <si>
    <t>Citius and BTG Pactual</t>
  </si>
  <si>
    <t>BNPL and consumer credit platform; newly approved as a regulated deposit-taking institution</t>
  </si>
  <si>
    <t>Fully managed AI sales-tax compliance engine automating product tax coding, rate calculation and filing</t>
  </si>
  <si>
    <t>Agentic security platform protecting AI agents deployed inside enterprise environments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</si>
</sst>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[$-409]d\-mmm\-yy;@"/>
    <numFmt numFmtId="165" formatCode="&quot;- &quot;General"/>
    <numFmt numFmtId="166" formatCode="0.0\x"/>
    <numFmt numFmtId="167" formatCode="&quot;$&quot;#,##0_);\(&quot;$&quot;#,##0\);&quot;$&quot;\ \–?"/>
  </numFmts>
  <fonts count="19" x14ac:knownFonts="1">
    <font>
      <sz val="10"/>
      <name val="Arial"/>
    </font>
    <font>
      <u/>
      <sz val="11"/>
      <color indexed="12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FF0000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b/>
      <sz val="8"/>
      <color indexed="9"/>
      <name val="Segoe UI"/>
      <family val="2"/>
    </font>
    <font>
      <sz val="8"/>
      <name val="Segoe UI"/>
      <family val="2"/>
    </font>
    <font>
      <b/>
      <sz val="10"/>
      <name val="Segoe UI"/>
      <family val="2"/>
    </font>
    <font>
      <b/>
      <sz val="9"/>
      <name val="Segoe UI"/>
      <family val="2"/>
    </font>
    <font>
      <sz val="8"/>
      <color theme="0" tint="-0.499984740745262"/>
      <name val="Segoe UI"/>
      <family val="2"/>
    </font>
    <font>
      <u/>
      <sz val="8"/>
      <color theme="10"/>
      <name val="Segoe U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69A3"/>
        <bgColor indexed="64"/>
      </patternFill>
    </fill>
    <fill>
      <patternFill patternType="solid">
        <fgColor rgb="FF0067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6" fillId="0" borderId="0"/>
  </cellStyleXfs>
  <cellXfs count="51">
    <xf numFmtId="0" fontId="0" fillId="0" borderId="0" xfId="0"/>
    <xf numFmtId="0" fontId="6" fillId="0" borderId="0" xfId="0" applyFont="1"/>
    <xf numFmtId="0" fontId="7" fillId="0" borderId="0" xfId="3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right"/>
    </xf>
    <xf numFmtId="0" fontId="6" fillId="4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9" fillId="4" borderId="2" xfId="0" applyNumberFormat="1" applyFont="1" applyFill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 indent="1"/>
    </xf>
    <xf numFmtId="166" fontId="9" fillId="0" borderId="2" xfId="0" quotePrefix="1" applyNumberFormat="1" applyFont="1" applyBorder="1" applyAlignment="1">
      <alignment horizontal="center" vertical="center" wrapText="1"/>
    </xf>
    <xf numFmtId="166" fontId="9" fillId="0" borderId="2" xfId="0" quotePrefix="1" applyNumberFormat="1" applyFont="1" applyBorder="1" applyAlignment="1">
      <alignment horizontal="left" vertical="center" wrapText="1" indent="1"/>
    </xf>
    <xf numFmtId="0" fontId="9" fillId="0" borderId="2" xfId="0" quotePrefix="1" applyFont="1" applyBorder="1" applyAlignment="1">
      <alignment horizontal="center" vertical="center" wrapText="1"/>
    </xf>
    <xf numFmtId="164" fontId="9" fillId="0" borderId="2" xfId="0" quotePrefix="1" applyNumberFormat="1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1" fontId="9" fillId="0" borderId="0" xfId="2" quotePrefix="1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 wrapText="1" indent="1"/>
    </xf>
    <xf numFmtId="0" fontId="7" fillId="0" borderId="0" xfId="3" applyFont="1" applyFill="1" applyBorder="1" applyAlignment="1">
      <alignment horizontal="left" vertical="center" wrapText="1"/>
    </xf>
    <xf numFmtId="166" fontId="9" fillId="0" borderId="0" xfId="0" quotePrefix="1" applyNumberFormat="1" applyFont="1" applyAlignment="1">
      <alignment horizontal="center" vertical="center" wrapText="1"/>
    </xf>
    <xf numFmtId="166" fontId="9" fillId="0" borderId="0" xfId="0" quotePrefix="1" applyNumberFormat="1" applyFont="1" applyAlignment="1">
      <alignment horizontal="left" vertical="center" wrapText="1" indent="1"/>
    </xf>
    <xf numFmtId="0" fontId="9" fillId="0" borderId="0" xfId="0" quotePrefix="1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right" wrapText="1"/>
    </xf>
    <xf numFmtId="0" fontId="11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165" fontId="6" fillId="0" borderId="0" xfId="0" applyNumberFormat="1" applyFont="1" applyAlignment="1">
      <alignment horizontal="left" indent="1"/>
    </xf>
    <xf numFmtId="0" fontId="4" fillId="0" borderId="0" xfId="0" applyFont="1"/>
    <xf numFmtId="0" fontId="5" fillId="0" borderId="0" xfId="0" applyFont="1"/>
    <xf numFmtId="0" fontId="8" fillId="3" borderId="1" xfId="0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41" fontId="9" fillId="0" borderId="2" xfId="2" quotePrefix="1" applyNumberFormat="1" applyFont="1" applyFill="1" applyBorder="1" applyAlignment="1">
      <alignment horizontal="center" vertical="center"/>
    </xf>
    <xf numFmtId="167" fontId="9" fillId="0" borderId="2" xfId="2" quotePrefix="1" applyNumberFormat="1" applyFont="1" applyFill="1" applyBorder="1" applyAlignment="1">
      <alignment horizontal="center" vertical="center"/>
    </xf>
    <xf numFmtId="0" fontId="13" fillId="0" borderId="2" xfId="3" applyFont="1" applyFill="1" applyBorder="1" applyAlignment="1">
      <alignment horizontal="center" vertical="center" wrapText="1"/>
    </xf>
    <xf numFmtId="0" fontId="13" fillId="0" borderId="3" xfId="3" applyFont="1" applyFill="1" applyBorder="1" applyAlignment="1">
      <alignment horizontal="center" vertical="center" wrapText="1"/>
    </xf>
    <xf numFmtId="0" fontId="13" fillId="0" borderId="4" xfId="3" applyFont="1" applyFill="1" applyBorder="1" applyAlignment="1">
      <alignment horizontal="center" vertical="center" wrapText="1"/>
    </xf>
    <xf numFmtId="0" fontId="13" fillId="0" borderId="2" xfId="3" applyFont="1" applyBorder="1" applyAlignment="1">
      <alignment horizontal="center" vertical="center"/>
    </xf>
    <xf numFmtId="164" fontId="9" fillId="4" borderId="2" xfId="0" quotePrefix="1" applyNumberFormat="1" applyFont="1" applyFill="1" applyBorder="1" applyAlignment="1">
      <alignment horizontal="center" vertical="center" wrapText="1"/>
    </xf>
    <xf numFmtId="0" fontId="13" fillId="0" borderId="2" xfId="3" applyFont="1" applyFill="1" applyBorder="1" applyAlignment="1">
      <alignment horizontal="center" vertical="center"/>
    </xf>
    <xf numFmtId="167" fontId="9" fillId="5" borderId="2" xfId="2" quotePrefix="1" applyNumberFormat="1" applyFont="1" applyFill="1" applyBorder="1" applyAlignment="1">
      <alignment horizontal="center" vertical="center"/>
    </xf>
    <xf numFmtId="166" fontId="9" fillId="5" borderId="2" xfId="0" quotePrefix="1" applyNumberFormat="1" applyFont="1" applyFill="1" applyBorder="1" applyAlignment="1">
      <alignment horizontal="center" vertical="center" wrapText="1"/>
    </xf>
    <xf numFmtId="0" fontId="3" fillId="0" borderId="0" xfId="3"/>
    <xf numFmtId="0" fontId="0" fillId="0" borderId="5" xfId="0" applyBorder="1" applyAlignment="1">
      <alignment horizontal="left" vertical="top" wrapText="1"/>
    </xf>
  </cellXfs>
  <cellStyles count="5">
    <cellStyle name="Comma 2" xfId="1" xr:uid="{F178E945-C0D9-438A-94DA-47922B4AD621}"/>
    <cellStyle name="Currency" xfId="2" builtinId="4"/>
    <cellStyle name="Hyperlink" xfId="3" builtinId="8"/>
    <cellStyle name="Normal" xfId="0" builtinId="0"/>
    <cellStyle name="Normal 2" xfId="4" xr:uid="{D52EBB15-EBFB-492A-8FDA-543F5DA90E92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EEF3F8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4F81BD"/>
      <rgbColor rgb="00333333"/>
    </indexedColors>
    <mruColors>
      <color rgb="FFFFFF00"/>
      <color rgb="FF0067A5"/>
      <color rgb="FF0069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ixthstreet.com/investment_announce/global-lending-services-enters-agreement-to-be-acquired-by-sixth-street/" TargetMode="External"/><Relationship Id="rId299" Type="http://schemas.openxmlformats.org/officeDocument/2006/relationships/hyperlink" Target="https://www.fintechfutures.com/venture-capital-funding/farther-lands-150m-series-d" TargetMode="External"/><Relationship Id="rId21" Type="http://schemas.openxmlformats.org/officeDocument/2006/relationships/hyperlink" Target="https://www.fintechfutures.com/m-a/clearscore-acquires-acre-platforms" TargetMode="External"/><Relationship Id="rId63" Type="http://schemas.openxmlformats.org/officeDocument/2006/relationships/hyperlink" Target="https://www.fintechfutures.com/m-a/concord-acquires-finley-technologies-to-enhance-credit-administration-capabilities" TargetMode="External"/><Relationship Id="rId159" Type="http://schemas.openxmlformats.org/officeDocument/2006/relationships/hyperlink" Target="https://www.wamda.com/2025/10/qashio-acquires-sanad-cash-accelerate-saudi-expansion" TargetMode="External"/><Relationship Id="rId324" Type="http://schemas.openxmlformats.org/officeDocument/2006/relationships/hyperlink" Target="https://www.businesswire.com/news/home/20260630996486/en/Objectway-Acquires-Swiss-Private-Banking-Technology-Business-From-FNZ-to-Strengthen-Its-Pan-European-Positioning" TargetMode="External"/><Relationship Id="rId170" Type="http://schemas.openxmlformats.org/officeDocument/2006/relationships/hyperlink" Target="https://www.bing.com/search?pglt=2083&amp;q=uptop+and+rain&amp;cvid=28dd0f2218624836b7ea49464bd10a77&amp;gs_lcrp=EgRlZGdlKgYIABBFGDkyBggAEEUYOTIGCAEQABhAMgYIAhAAGEAyBggDEAAYQDIGCAQQABhAMgYIBRAAGEAyBggGEAAYQDIGCAcQABhAMgYICBAAGEAyCAgJEOkHGPxV0gEIMzM5MGowajGoAgCwAgA&amp;FORM=ANNAB1&amp;PC=U531" TargetMode="External"/><Relationship Id="rId226" Type="http://schemas.openxmlformats.org/officeDocument/2006/relationships/hyperlink" Target="https://www.fintechfutures.com/m-a/synctera-enhances-compliance-offering-with-cable-acquisition" TargetMode="External"/><Relationship Id="rId268" Type="http://schemas.openxmlformats.org/officeDocument/2006/relationships/hyperlink" Target="https://www.fintechfutures.com/m-a/sofi-acquires-primarybid" TargetMode="External"/><Relationship Id="rId32" Type="http://schemas.openxmlformats.org/officeDocument/2006/relationships/hyperlink" Target="https://www.businesswire.com/news/home/20260202212543/en/EVERTEC-to-Acquire-Dimensa-for-R%24950-Million" TargetMode="External"/><Relationship Id="rId74" Type="http://schemas.openxmlformats.org/officeDocument/2006/relationships/hyperlink" Target="https://www.fintechfutures.com/m-a/rbc-acquires-pinch-financial" TargetMode="External"/><Relationship Id="rId128" Type="http://schemas.openxmlformats.org/officeDocument/2006/relationships/hyperlink" Target="https://www.fintechfutures.com/m-a/reseda-group-and-maps-credit-union-partner-to-buy-pocketnest" TargetMode="External"/><Relationship Id="rId5" Type="http://schemas.openxmlformats.org/officeDocument/2006/relationships/hyperlink" Target="https://www.prnewswire.com/news-releases/fireblocks-acquires-tres-finance-to-deliver-the-first-unified-operating-system-for-digital-assets-302654983.html" TargetMode="External"/><Relationship Id="rId181" Type="http://schemas.openxmlformats.org/officeDocument/2006/relationships/hyperlink" Target="https://financefeeds.com/exodus-acquires-w3c-corp-175m-onchain-payments/" TargetMode="External"/><Relationship Id="rId237" Type="http://schemas.openxmlformats.org/officeDocument/2006/relationships/hyperlink" Target="https://www.lumonpay.com/corporate/articles/announcement-lumon-agrees-to-acquire-fiscal-fx/" TargetMode="External"/><Relationship Id="rId279" Type="http://schemas.openxmlformats.org/officeDocument/2006/relationships/hyperlink" Target="https://www.fintechfutures.com/m-a/sofi-acquires-peach-finance" TargetMode="External"/><Relationship Id="rId43" Type="http://schemas.openxmlformats.org/officeDocument/2006/relationships/hyperlink" Target="https://www.deutsche-boerse.com/dbg-en/media/news-stories/press-releases/Deutsche-B-rse-Group-to-Acquire-General-Atlantic-s-Minority-Stake-in-ISS-STOXX-4948682" TargetMode="External"/><Relationship Id="rId139" Type="http://schemas.openxmlformats.org/officeDocument/2006/relationships/hyperlink" Target="https://secure.businesswire.com/news/home/20251016698467/en/SOLVE-Acquires-MBS-Source-to-Expand-Structured-Products-Coverage" TargetMode="External"/><Relationship Id="rId290" Type="http://schemas.openxmlformats.org/officeDocument/2006/relationships/hyperlink" Target="https://fintech.global/2026/06/05/ramp-hits-44bn-valuation-with-landmark-series-f/?_gl=1*7s1y6q*_up*MQ..*_gs*MQ..&amp;gclid=EAIaIQobChMIvvq08u71lAMVjklHAR338zNaEAAYASAAEgJvmfD_BwE" TargetMode="External"/><Relationship Id="rId304" Type="http://schemas.openxmlformats.org/officeDocument/2006/relationships/hyperlink" Target="https://www.coindesk.com/business/2026/06/01/crypto-investment-firm-keyrock-is-acquiring-bankrupt-lender-blockfills" TargetMode="External"/><Relationship Id="rId85" Type="http://schemas.openxmlformats.org/officeDocument/2006/relationships/hyperlink" Target="https://financefeeds.com/polymarket-acquires-dome-developer-of-unified-prediction-markets-api/" TargetMode="External"/><Relationship Id="rId150" Type="http://schemas.openxmlformats.org/officeDocument/2006/relationships/hyperlink" Target="https://www.insurancetimes.co.uk/news/brown-and-brown-acquires-kent-based-commercial-mga/1456686.article" TargetMode="External"/><Relationship Id="rId192" Type="http://schemas.openxmlformats.org/officeDocument/2006/relationships/hyperlink" Target="https://www.morningstar.com/news/business-wire/20251106588728/coalition-announces-acquisition-of-automated-mdr-provider-wirespeed" TargetMode="External"/><Relationship Id="rId206" Type="http://schemas.openxmlformats.org/officeDocument/2006/relationships/hyperlink" Target="https://coverager.com/infosys-to-acquire-stratus/" TargetMode="External"/><Relationship Id="rId248" Type="http://schemas.openxmlformats.org/officeDocument/2006/relationships/hyperlink" Target="https://www.fintechfutures.com/m-a/sage-acquires-doyen-ai" TargetMode="External"/><Relationship Id="rId12" Type="http://schemas.openxmlformats.org/officeDocument/2006/relationships/hyperlink" Target="https://www.katrisk.com/katrisk-acquires-symfos-to-accelerate-next-generation-underwriting-and-portfolio-risk-intelligence/" TargetMode="External"/><Relationship Id="rId108" Type="http://schemas.openxmlformats.org/officeDocument/2006/relationships/hyperlink" Target="https://www.reuters.com/business/financial-services-firm-jtc-agrees-3-billion-buyout-proposal-permira-2025-11-10/" TargetMode="External"/><Relationship Id="rId315" Type="http://schemas.openxmlformats.org/officeDocument/2006/relationships/hyperlink" Target="https://investors.deluxe.com/news-events/press-releases/detail/477/deluxe-to-acquire-celero-commerce-accelerating-transformation-toward-payments-and-data-solutions-scale" TargetMode="External"/><Relationship Id="rId54" Type="http://schemas.openxmlformats.org/officeDocument/2006/relationships/hyperlink" Target="https://www.fintechfutures.com/m-a/experian-acquires-atdata" TargetMode="External"/><Relationship Id="rId96" Type="http://schemas.openxmlformats.org/officeDocument/2006/relationships/hyperlink" Target="https://www.businesswire.com/news/home/20251016698467/en/SOLVE-Acquires-MBS-Source-to-Expand-Structured-Products-Coverage" TargetMode="External"/><Relationship Id="rId161" Type="http://schemas.openxmlformats.org/officeDocument/2006/relationships/hyperlink" Target="https://www.prnewswire.com/news-releases/nulogy-introduces-new-manufacturing-quality-and-compliance-capabilities-with-the-strategic-acquisition-of-auditcomply-302580960.html" TargetMode="External"/><Relationship Id="rId217" Type="http://schemas.openxmlformats.org/officeDocument/2006/relationships/hyperlink" Target="https://www.desmoinesregister.com/press-release/story/57798/qsource-group-acquires-aoe-software-and-unveils-qtren-a-unified-commercial-real-estate-technology-platform/" TargetMode="External"/><Relationship Id="rId259" Type="http://schemas.openxmlformats.org/officeDocument/2006/relationships/hyperlink" Target="https://www.mesirow.com/press-releases/mesirow-to-acquire-leafhouse-financial-advisors-a-division-of-leafhouse-financial-group-expanding-mesirows-fiduciary-solutions-platform" TargetMode="External"/><Relationship Id="rId23" Type="http://schemas.openxmlformats.org/officeDocument/2006/relationships/hyperlink" Target="https://www.fintechfutures.com/m-a/scoro-acquires-envoice" TargetMode="External"/><Relationship Id="rId119" Type="http://schemas.openxmlformats.org/officeDocument/2006/relationships/hyperlink" Target="https://www.morningstar.com/news/pr-newswire/20251022la03827/falconx-acquires-leading-etp-provider-21shares-accelerating-the-convergence-of-digital-assets-and-traditional-finance" TargetMode="External"/><Relationship Id="rId270" Type="http://schemas.openxmlformats.org/officeDocument/2006/relationships/hyperlink" Target="https://www.dynamosoftware.com/news/dynamo-acquires-investhub/" TargetMode="External"/><Relationship Id="rId326" Type="http://schemas.openxmlformats.org/officeDocument/2006/relationships/printerSettings" Target="../printerSettings/printerSettings1.bin"/><Relationship Id="rId65" Type="http://schemas.openxmlformats.org/officeDocument/2006/relationships/hyperlink" Target="https://www.prnewswire.com/news-releases/pairsoft-acquires-nimbello-to-expand-ai-powered-saas-offerings-302718403.html" TargetMode="External"/><Relationship Id="rId130" Type="http://schemas.openxmlformats.org/officeDocument/2006/relationships/hyperlink" Target="https://www.morningstar.com/news/pr-newswire/20251023la04244/nelnet-canada-to-acquire-canadian-student-loan-servicing-business" TargetMode="External"/><Relationship Id="rId172" Type="http://schemas.openxmlformats.org/officeDocument/2006/relationships/hyperlink" Target="https://www.bridgepointgroup.com/about-us/news-and-insights/press-releases/2025/zuto-secures-majority-investment-from-bridgepoint-to-accelerate-next-phase-of-growth" TargetMode="External"/><Relationship Id="rId228" Type="http://schemas.openxmlformats.org/officeDocument/2006/relationships/hyperlink" Target="https://www.fintechfutures.com/m-a/etoro-to-buy-crypto-wallet-provider-zengo" TargetMode="External"/><Relationship Id="rId281" Type="http://schemas.openxmlformats.org/officeDocument/2006/relationships/hyperlink" Target="https://fintech.global/2026/05/19/akamai-acquires-layerx-to-close-enterprise-ai-gap/" TargetMode="External"/><Relationship Id="rId34" Type="http://schemas.openxmlformats.org/officeDocument/2006/relationships/hyperlink" Target="https://www.reuters.com/markets/deals/global-payments-buy-worldpay-227-billion-2025-04-17/" TargetMode="External"/><Relationship Id="rId76" Type="http://schemas.openxmlformats.org/officeDocument/2006/relationships/hyperlink" Target="https://www.prnewswire.com/news-releases/diversis-capital-acquires-lti-technology-solutions-to-accelerate-innovation-in-equipment-finance-technology-302721563.html" TargetMode="External"/><Relationship Id="rId141" Type="http://schemas.openxmlformats.org/officeDocument/2006/relationships/hyperlink" Target="https://www.financemagnates.com/forex/skillingcom-to-become-part-of-infinox-group-under-agreed-acquisition-terms/" TargetMode="External"/><Relationship Id="rId7" Type="http://schemas.openxmlformats.org/officeDocument/2006/relationships/hyperlink" Target="https://www.fintechfutures.com/m-a/gtreasury-acquires-solvexia" TargetMode="External"/><Relationship Id="rId183" Type="http://schemas.openxmlformats.org/officeDocument/2006/relationships/hyperlink" Target="https://www.bing.com/search?pglt=2083&amp;q=connect%26go+and+peek+acquistion&amp;cvid=ba3bb1fb8e9f48a8a326949e4387236c&amp;gs_lcrp=EgRlZGdlKgYIABBFGDkyBggAEEUYOTIGCAEQABhAMggIAhDpBxj8VdIBCDQxNzFqMGoxqAIAsAIA&amp;FORM=ANNAB1&amp;PC=U531" TargetMode="External"/><Relationship Id="rId239" Type="http://schemas.openxmlformats.org/officeDocument/2006/relationships/hyperlink" Target="https://www.businesswire.com/news/home/20260417468090/en/Gyde-Acquires-Benavest-to-Expand-AI-Powered-Brokerage-Platform-and-Accelerate-Consumer-Health-Insurance-Growth" TargetMode="External"/><Relationship Id="rId250" Type="http://schemas.openxmlformats.org/officeDocument/2006/relationships/hyperlink" Target="https://discoperi.com/deals/recharge-acquires-skio-2026/" TargetMode="External"/><Relationship Id="rId271" Type="http://schemas.openxmlformats.org/officeDocument/2006/relationships/hyperlink" Target="https://www.fintechfutures.com/m-a/vertex-acquires-brinta" TargetMode="External"/><Relationship Id="rId292" Type="http://schemas.openxmlformats.org/officeDocument/2006/relationships/hyperlink" Target="https://fintech.global/2026/06/04/alphasense-raises-350m-at-7-5bn-valuation/?_gl=1*11v0blw*_up*MQ..*_gs*MQ..&amp;gclid=EAIaIQobChMIvvq08u71lAMVjklHAR338zNaEAAYASAAEgJvmfD_BwE" TargetMode="External"/><Relationship Id="rId306" Type="http://schemas.openxmlformats.org/officeDocument/2006/relationships/hyperlink" Target="https://www.temenos.com/press_release/temenos-acquires-additiv-to-strengthen-its-wealth-proposition-and-accelerate-ai-driven-orchestration/" TargetMode="External"/><Relationship Id="rId24" Type="http://schemas.openxmlformats.org/officeDocument/2006/relationships/hyperlink" Target="https://www.fintechfutures.com/ai-in-fintech/paypal-takes-next-step-in-ai-rollout-with-cymbio-acquisition" TargetMode="External"/><Relationship Id="rId45" Type="http://schemas.openxmlformats.org/officeDocument/2006/relationships/hyperlink" Target="https://www.fintechfutures.com/m-a/uipath-acquires-workfusion" TargetMode="External"/><Relationship Id="rId66" Type="http://schemas.openxmlformats.org/officeDocument/2006/relationships/hyperlink" Target="https://ottodigital.io/mg-stover-acquires-asymmetric-information-to-power-ai-driven-intelligence-for-institutional-crypto/" TargetMode="External"/><Relationship Id="rId87" Type="http://schemas.openxmlformats.org/officeDocument/2006/relationships/hyperlink" Target="https://pe-insights.com/apollo-and-motive-partners-back-merger-of-alchelyst-and-lyra-to-build-next-gen-private-markets-platform/" TargetMode="External"/><Relationship Id="rId110" Type="http://schemas.openxmlformats.org/officeDocument/2006/relationships/hyperlink" Target="https://www.reuters.com/business/finance/barclays-buy-us-personal-loan-firm-best-egg-800-million-2025-10-28/" TargetMode="External"/><Relationship Id="rId131" Type="http://schemas.openxmlformats.org/officeDocument/2006/relationships/hyperlink" Target="https://markets.businessinsider.com/news/stocks/volaris-group-acquires-fintilect-1035401283" TargetMode="External"/><Relationship Id="rId327" Type="http://schemas.openxmlformats.org/officeDocument/2006/relationships/customProperty" Target="../customProperty1.bin"/><Relationship Id="rId152" Type="http://schemas.openxmlformats.org/officeDocument/2006/relationships/hyperlink" Target="https://www.bing.com/search?q=applied+risk+capital+and+amwins+group&amp;cvid=6d573d5fd65a4456aa3f259f2cfdfaf4&amp;gs_lcrp=EgRlZGdlKgYIABBFGDkyBggAEEUYOTIGCAEQABhAMgYIAhAAGEAyBggDEAAYQDIGCAQQABhAMgYIBRAAGEAyBggGEAAYQDIGCAcQABhAMgYICBAAGEAyCAgJEOkHGPxV0gEINzM5MGowajmoAgiwAgE&amp;FORM=ANAB01&amp;PC=U531" TargetMode="External"/><Relationship Id="rId173" Type="http://schemas.openxmlformats.org/officeDocument/2006/relationships/hyperlink" Target="https://fintechmagazine.com/news/why-has-lloyds-banking-group-acquired-digital-wallet-curve" TargetMode="External"/><Relationship Id="rId194" Type="http://schemas.openxmlformats.org/officeDocument/2006/relationships/hyperlink" Target="https://fintech.global/2025/12/16/monzo-to-acquire-habito-to-launch-digital-mortgage-broking/" TargetMode="External"/><Relationship Id="rId208" Type="http://schemas.openxmlformats.org/officeDocument/2006/relationships/hyperlink" Target="https://www.pamlicocapital.com/news/pamlico-announces-significant-growth-investment-in-calcfocus" TargetMode="External"/><Relationship Id="rId229" Type="http://schemas.openxmlformats.org/officeDocument/2006/relationships/hyperlink" Target="https://www.fintechfutures.com/m-a/american-express-acquires-hyper" TargetMode="External"/><Relationship Id="rId240" Type="http://schemas.openxmlformats.org/officeDocument/2006/relationships/hyperlink" Target="https://pulse2.com/microsoft-acquisition-of-fintool-expands-ai-capabilities-for-financial-research-and-microsoft-365/" TargetMode="External"/><Relationship Id="rId261" Type="http://schemas.openxmlformats.org/officeDocument/2006/relationships/hyperlink" Target="https://www.moonpay.com/newsroom/dflow" TargetMode="External"/><Relationship Id="rId14" Type="http://schemas.openxmlformats.org/officeDocument/2006/relationships/hyperlink" Target="https://www.fintechfutures.com/m-a/uk-lender-abound-acquires-ahauz-debuts-rezide-equity-loan" TargetMode="External"/><Relationship Id="rId35" Type="http://schemas.openxmlformats.org/officeDocument/2006/relationships/hyperlink" Target="https://www.marketscreener.com/news/fidelity-national-information-services-inc-completed-the-acquisition-of-total-system-services-llc-ce7e58dade8cf226" TargetMode="External"/><Relationship Id="rId56" Type="http://schemas.openxmlformats.org/officeDocument/2006/relationships/hyperlink" Target="https://finance.yahoo.com/news/ialta-holdings-acquires-delio-140000434.html" TargetMode="External"/><Relationship Id="rId77" Type="http://schemas.openxmlformats.org/officeDocument/2006/relationships/hyperlink" Target="https://www.prnewswire.com/news-releases/terminus-capital-partners-makes-majority-investment-in-andesa-302725901.html" TargetMode="External"/><Relationship Id="rId100" Type="http://schemas.openxmlformats.org/officeDocument/2006/relationships/hyperlink" Target="https://fintech.global/2025/11/04/fundapps-and-steeleye-merge-to-form-global-regtech-leader/" TargetMode="External"/><Relationship Id="rId282" Type="http://schemas.openxmlformats.org/officeDocument/2006/relationships/hyperlink" Target="https://fintech.global/2026/05/19/ascend-and-honor-capital-create-integrated-insurance-finance-platform/" TargetMode="External"/><Relationship Id="rId317" Type="http://schemas.openxmlformats.org/officeDocument/2006/relationships/hyperlink" Target="https://www.fintechfutures.com/accounting-payroll/citation-group-acquires-paycaptain" TargetMode="External"/><Relationship Id="rId8" Type="http://schemas.openxmlformats.org/officeDocument/2006/relationships/hyperlink" Target="https://www.businesswire.com/news/home/20260107304272/en/Proven-Optics-Acquires-brightfin-Names-Joel-Martins-as-CEO" TargetMode="External"/><Relationship Id="rId98" Type="http://schemas.openxmlformats.org/officeDocument/2006/relationships/hyperlink" Target="https://www.bmlltech.com/news/press-releases-and-news/nordic-capital-to-acquire-bmll-a-leading-provider-of-historical-trading-data-and-analytics-for-capital-markets" TargetMode="External"/><Relationship Id="rId121" Type="http://schemas.openxmlformats.org/officeDocument/2006/relationships/hyperlink" Target="https://www.sagemount.com/news/bregal-sagemount-announces-sale-of-trustarc-to-main-capital-partners/" TargetMode="External"/><Relationship Id="rId142" Type="http://schemas.openxmlformats.org/officeDocument/2006/relationships/hyperlink" Target="https://www.fintechfutures.com/m-a/bgc-group-acquires-market-analytics-firm-macro-hive" TargetMode="External"/><Relationship Id="rId163" Type="http://schemas.openxmlformats.org/officeDocument/2006/relationships/hyperlink" Target="https://www.loctax.com/resources/loctax-is-acquired-by-tax-systems" TargetMode="External"/><Relationship Id="rId184" Type="http://schemas.openxmlformats.org/officeDocument/2006/relationships/hyperlink" Target="https://www.bing.com/search?q=planky+and+bnk301&amp;cvid=187318d36deb410580a2e18c1cd5c9d1&amp;gs_lcrp=EgRlZGdlKgYIABBFGDkyBggAEEUYOTIICAEQ6QcY_FXSAQg1ODcxajBqOagCCLACAQ&amp;FORM=ANAB01&amp;PC=U531" TargetMode="External"/><Relationship Id="rId219" Type="http://schemas.openxmlformats.org/officeDocument/2006/relationships/hyperlink" Target="https://www.msci.com/discover-msci/media-room/msci-advances-transparency-in-private-markets-with-acquisition-of-pm-insights" TargetMode="External"/><Relationship Id="rId230" Type="http://schemas.openxmlformats.org/officeDocument/2006/relationships/hyperlink" Target="https://www.fintechfutures.com/m-a/experian-bolsters-verification-capabilities-with-konfir-acquisition" TargetMode="External"/><Relationship Id="rId251" Type="http://schemas.openxmlformats.org/officeDocument/2006/relationships/hyperlink" Target="https://www.businesswire.com/news/home/20260430086378/en/Fitch-Group-Enters-Into-Agreement-to-Acquire-Trepp" TargetMode="External"/><Relationship Id="rId25" Type="http://schemas.openxmlformats.org/officeDocument/2006/relationships/hyperlink" Target="https://www.fintechfutures.com/m-a/remote-acquires-atlas" TargetMode="External"/><Relationship Id="rId46" Type="http://schemas.openxmlformats.org/officeDocument/2006/relationships/hyperlink" Target="https://www.businesswire.com/news/home/20260212550254/en/Pavilion-Payments-Reaches-Agreement-to-Acquire-DiTRONICS-Financial-Services" TargetMode="External"/><Relationship Id="rId67" Type="http://schemas.openxmlformats.org/officeDocument/2006/relationships/hyperlink" Target="https://icapital.com/newsroom/press-releases/icapital-acquires-hexure-to-create-the-industrys-first-end-to-end-annuity-and-insurance-technology-platform/?utm_medium=Organic_Social&amp;utm_source=Linkedin&amp;utm_campaign=L2_CORP_CORPO_LP_Haven-2-Announcement_CY26_Q1_Mar&amp;utm_campaign_id=701OL00000jzsxjYAA&amp;utm_tactic_id=a4BOL000000nexB2AQ" TargetMode="External"/><Relationship Id="rId272" Type="http://schemas.openxmlformats.org/officeDocument/2006/relationships/hyperlink" Target="https://www.fintechfutures.com/m-a/equilend-acquires-finadium" TargetMode="External"/><Relationship Id="rId293" Type="http://schemas.openxmlformats.org/officeDocument/2006/relationships/hyperlink" Target="https://fintech.global/2026/06/04/forage-targets-one-million-families-with-40m-funding-round/?_gl=1*1362rs2*_up*MQ..*_gs*MQ..&amp;gclid=EAIaIQobChMIvvq08u71lAMVjklHAR338zNaEAAYASAAEgJvmfD_BwE" TargetMode="External"/><Relationship Id="rId307" Type="http://schemas.openxmlformats.org/officeDocument/2006/relationships/hyperlink" Target="https://octus.com/company/news/octus-signs-definitive-agreement-to-acquire-levpro/" TargetMode="External"/><Relationship Id="rId328" Type="http://schemas.openxmlformats.org/officeDocument/2006/relationships/vmlDrawing" Target="../drawings/vmlDrawing1.vml"/><Relationship Id="rId88" Type="http://schemas.openxmlformats.org/officeDocument/2006/relationships/hyperlink" Target="https://fintech.global/2026/03/16/aca-group-buys-fx-transparency-to-expand-fx-tca-services/" TargetMode="External"/><Relationship Id="rId111" Type="http://schemas.openxmlformats.org/officeDocument/2006/relationships/hyperlink" Target="https://www.coinbase.com/blog/coinbase-acquires-echo-unlocking-the-future-of-onchain-capital-formation" TargetMode="External"/><Relationship Id="rId132" Type="http://schemas.openxmlformats.org/officeDocument/2006/relationships/hyperlink" Target="https://www.prnewswire.com/news-releases/ai-meets-capital-bizcap-welcomes-8fig-into-its-global-portfolio-to-accelerate-growth-funding-302589598.html" TargetMode="External"/><Relationship Id="rId153" Type="http://schemas.openxmlformats.org/officeDocument/2006/relationships/hyperlink" Target="https://www.prnewswire.com/news-releases/lettuce-financial-secures-28m-and-acquires-healthcare-benefits-startup-besolo-to-expand-its-ai-powered-operating-system-for-solopreneurs-302604442.html" TargetMode="External"/><Relationship Id="rId174" Type="http://schemas.openxmlformats.org/officeDocument/2006/relationships/hyperlink" Target="https://www.bing.com/search?q=hype+and+banca+sella&amp;cvid=d1ef5fe712e947db9b2346a9f8d6519a&amp;gs_lcrp=EgRlZGdlKgYIABBFGDkyBggAEEUYOTIGCAEQABhAMgYIAhAAGEAyBggDEAAYQDIGCAQQABhAMgYIBRAAGEAyBggGEAAYQDIGCAcQABhAMgYICBAAGEAyCAgJEOkHGPxV0gEINDUyMWowajmoAgiwAgE&amp;FORM=ANAB01&amp;PC=U531" TargetMode="External"/><Relationship Id="rId195" Type="http://schemas.openxmlformats.org/officeDocument/2006/relationships/hyperlink" Target="https://www.ta.com/news/smarttrade-to-acquire-kace/" TargetMode="External"/><Relationship Id="rId209" Type="http://schemas.openxmlformats.org/officeDocument/2006/relationships/hyperlink" Target="https://www.enlyte.com/insights/news-release/auto-physical-damage/enlyte-acquire-partstrader-complementing-mitchells-auto" TargetMode="External"/><Relationship Id="rId220" Type="http://schemas.openxmlformats.org/officeDocument/2006/relationships/hyperlink" Target="https://www.trinet.com/about-us/news-press/press-releases/trinet-to-acquire-cocoon-expanding-leave-management-solutions-for-smbs" TargetMode="External"/><Relationship Id="rId241" Type="http://schemas.openxmlformats.org/officeDocument/2006/relationships/hyperlink" Target="https://www.fintechfutures.com/m-a/creditinfo-expands-baltic-presence-with-100-takeover-of-kib-latvia" TargetMode="External"/><Relationship Id="rId15" Type="http://schemas.openxmlformats.org/officeDocument/2006/relationships/hyperlink" Target="https://www.fintechfutures.com/m-a/jp-morgan-acquires-wealthos" TargetMode="External"/><Relationship Id="rId36" Type="http://schemas.openxmlformats.org/officeDocument/2006/relationships/hyperlink" Target="https://www.wealthmanagement.com/advisor-support-platforms/fmg-acquires-testimonial-iq-to-boost-advisor-online-reputation-management" TargetMode="External"/><Relationship Id="rId57" Type="http://schemas.openxmlformats.org/officeDocument/2006/relationships/hyperlink" Target="https://www.fintechfutures.com/m-a/array-continues-acquisition-spree-snaps-up-penny-finance" TargetMode="External"/><Relationship Id="rId262" Type="http://schemas.openxmlformats.org/officeDocument/2006/relationships/hyperlink" Target="https://www.fintechfutures.com/m-a/long-lake-to-acquire-amex-gbt-for-6-3bn" TargetMode="External"/><Relationship Id="rId283" Type="http://schemas.openxmlformats.org/officeDocument/2006/relationships/hyperlink" Target="https://www.fintechfutures.com/m-a/nmi-acquires-dwolla" TargetMode="External"/><Relationship Id="rId318" Type="http://schemas.openxmlformats.org/officeDocument/2006/relationships/hyperlink" Target="https://www.backbase.com/press/backbase-acquires-kasisto-leading-the-industry-shift-to-agentic-banking" TargetMode="External"/><Relationship Id="rId78" Type="http://schemas.openxmlformats.org/officeDocument/2006/relationships/hyperlink" Target="https://www.fintechfutures.com/m-a/moniepoint-acquires-orda-africa" TargetMode="External"/><Relationship Id="rId99" Type="http://schemas.openxmlformats.org/officeDocument/2006/relationships/hyperlink" Target="https://www.businesswire.com/news/home/20251029582228/en/Morgan-Stanley-to-Acquire-Leading-Private-Shares-Platform-EquityZen" TargetMode="External"/><Relationship Id="rId101" Type="http://schemas.openxmlformats.org/officeDocument/2006/relationships/hyperlink" Target="https://www.fintechfutures.com/m-a/nec-pays-2-9bn-for-csg-systems-international?utm_rid=CPG09000086687082&amp;utm_campaign=54338&amp;utm_medium=email&amp;elq2=bcdc10ca118b4efc96e6d0f740688874&amp;oly_enc_id=&amp;sp_eh=e7ed2e04ddd6e3e6d097d107241448a6702d88f5a9860e8949255f542c847f0a&amp;utm_source=Eloqua" TargetMode="External"/><Relationship Id="rId122" Type="http://schemas.openxmlformats.org/officeDocument/2006/relationships/hyperlink" Target="https://www.morningstar.com/news/business-wire/20251001631485/theatre-capital-acquires-allpaid-appoints-geoff-knapp-as-ceo" TargetMode="External"/><Relationship Id="rId143" Type="http://schemas.openxmlformats.org/officeDocument/2006/relationships/hyperlink" Target="https://www.bing.com/search?q=crizit+and+trg+screen&amp;cvid=a833a4dcb4d54f0796bbf0f19f6816ca&amp;gs_lcrp=EgRlZGdlKgYIABBFGDkyBggAEEUYOTIICAEQ6QcY_FXSAQgyOTUxajBqOagCCLACAQ&amp;FORM=ANAB01&amp;PC=U531" TargetMode="External"/><Relationship Id="rId164" Type="http://schemas.openxmlformats.org/officeDocument/2006/relationships/hyperlink" Target="https://www.bing.com/search?pglt=2083&amp;q=credas+technologies+and+smartsearch&amp;cvid=9dc20f4b3f044928a5b6a4c06fb67cf5&amp;gs_lcrp=EgRlZGdlKgYIABBFGDkyBggAEEUYOTIGCAEQABhAMgYIAhAAGEAyBggDEAAYQDIGCAQQABhAMgYIBRAAGEAyBggGEAAYQDIGCAcQABhAMgYICBAAGEAyCAgJEOkHGPxV0gEINzM2NWowajGoAgCwAgA&amp;FORM=ANNAB1&amp;PC=U531" TargetMode="External"/><Relationship Id="rId185" Type="http://schemas.openxmlformats.org/officeDocument/2006/relationships/hyperlink" Target="https://www.businesswire.com/news/home/20251125794770/en/Kinective-Strengthens-Cash-Automation-Leadership-with-Acquisition-of-Compuflex-Corporation" TargetMode="External"/><Relationship Id="rId9" Type="http://schemas.openxmlformats.org/officeDocument/2006/relationships/hyperlink" Target="https://www.fintechfutures.com/m-a/solutions-by-text-acquires-triple-play-pay" TargetMode="External"/><Relationship Id="rId210" Type="http://schemas.openxmlformats.org/officeDocument/2006/relationships/hyperlink" Target="https://www.insurancejournal.com/news/national/2025/10/09/843208.htm" TargetMode="External"/><Relationship Id="rId26" Type="http://schemas.openxmlformats.org/officeDocument/2006/relationships/hyperlink" Target="https://www.pollenstreetgroup.com/pollen-street-agrees-acquisition-of-tutman/" TargetMode="External"/><Relationship Id="rId231" Type="http://schemas.openxmlformats.org/officeDocument/2006/relationships/hyperlink" Target="https://www.businesswire.com/news/home/20260414411744/en/Q4-Inc.-Acquires-Virtua-Research-to-Bring-AI-Powered-Consensus-Management-to-IR-Operations" TargetMode="External"/><Relationship Id="rId252" Type="http://schemas.openxmlformats.org/officeDocument/2006/relationships/hyperlink" Target="https://www.businesswire.com/news/home/20260427097638/en/Newport-Specialty-Partners-Announces-Growth-Investment-in-Complex-Coverage-Inc." TargetMode="External"/><Relationship Id="rId273" Type="http://schemas.openxmlformats.org/officeDocument/2006/relationships/hyperlink" Target="https://www.fintechfutures.com/m-a/coupa-acquires-rossum" TargetMode="External"/><Relationship Id="rId294" Type="http://schemas.openxmlformats.org/officeDocument/2006/relationships/hyperlink" Target="https://fintech.global/2026/06/01/saris-raises-28-8m-to-automate-bank-back-offices/?_gl=1*4pg0mp*_up*MQ..*_gs*MQ..&amp;gclid=EAIaIQobChMIvvq08u71lAMVjklHAR338zNaEAAYASAAEgJvmfD_BwE" TargetMode="External"/><Relationship Id="rId308" Type="http://schemas.openxmlformats.org/officeDocument/2006/relationships/hyperlink" Target="https://www.adyen.com/press-and-media/jtrg4qd7j3p4rj" TargetMode="External"/><Relationship Id="rId329" Type="http://schemas.openxmlformats.org/officeDocument/2006/relationships/comments" Target="../comments1.xml"/><Relationship Id="rId47" Type="http://schemas.openxmlformats.org/officeDocument/2006/relationships/hyperlink" Target="https://zepz.io/press/zepz-acquires-pomelo-to-expand-credit-services-for-cross-border-communities/" TargetMode="External"/><Relationship Id="rId68" Type="http://schemas.openxmlformats.org/officeDocument/2006/relationships/hyperlink" Target="https://fintech.global/2026/03/17/akur8-buys-slope-software-to-broaden-actuarial-platform/" TargetMode="External"/><Relationship Id="rId89" Type="http://schemas.openxmlformats.org/officeDocument/2006/relationships/hyperlink" Target="https://www.linkedin.com/posts/averyjohn_great-news-that-we-can-finally-share-droit-activity-7435663030325174272-I7F8/" TargetMode="External"/><Relationship Id="rId112" Type="http://schemas.openxmlformats.org/officeDocument/2006/relationships/hyperlink" Target="https://www.prnewswire.com/news-releases/white-mountains-to-sell-bamboo-to-cvc-302574504.html" TargetMode="External"/><Relationship Id="rId133" Type="http://schemas.openxmlformats.org/officeDocument/2006/relationships/hyperlink" Target="https://www.rentvine.com/blog/rentfinderai-joins-the-rentvine-family-" TargetMode="External"/><Relationship Id="rId154" Type="http://schemas.openxmlformats.org/officeDocument/2006/relationships/hyperlink" Target="https://www.morningstar.com/news/business-wire/20251028091255/array-acquires-onaroll-expanding-workforce-engagement-and-performance-capabilities" TargetMode="External"/><Relationship Id="rId175" Type="http://schemas.openxmlformats.org/officeDocument/2006/relationships/hyperlink" Target="https://www.bing.com/search?q=vitech+and+majesco&amp;cvid=4d4f548d9e7044219a78bf2df02ef245&amp;gs_lcrp=EgRlZGdlKgYIABBFGDkyBggAEEUYOTIGCAEQABhAMgYIAhAAGEAyBggDEAAYQDIICAQQ6QcY_FXSAQgzODQ4ajBqOagCCLACAQ&amp;FORM=ANAB01&amp;PC=U531" TargetMode="External"/><Relationship Id="rId196" Type="http://schemas.openxmlformats.org/officeDocument/2006/relationships/hyperlink" Target="https://www.prnewswire.com/news-releases/trading-technologies-acquires-opengamma-leader-in-margin-and-capital-optimization-analytics-302644269.html" TargetMode="External"/><Relationship Id="rId200" Type="http://schemas.openxmlformats.org/officeDocument/2006/relationships/hyperlink" Target="https://www.prnewswire.com/apac/news-releases/eqt-to-invest-in-propertyme-a-leading-australian-cloud-based-proptech-company-302632824.html" TargetMode="External"/><Relationship Id="rId16" Type="http://schemas.openxmlformats.org/officeDocument/2006/relationships/hyperlink" Target="https://www.fintechfutures.com/m-a/juniper-acquires-tagit" TargetMode="External"/><Relationship Id="rId221" Type="http://schemas.openxmlformats.org/officeDocument/2006/relationships/hyperlink" Target="https://www.prnewswire.com/news-releases/zone--co-acquires-sudozi-to-expand-the-system-of-agency-for-finance-302737984.html" TargetMode="External"/><Relationship Id="rId242" Type="http://schemas.openxmlformats.org/officeDocument/2006/relationships/hyperlink" Target="https://www.fintechfutures.com/m-a/collective-acquires-open-ledger" TargetMode="External"/><Relationship Id="rId263" Type="http://schemas.openxmlformats.org/officeDocument/2006/relationships/hyperlink" Target="https://fintech.global/2026/05/07/laka-acquires-velolife-to-expand-uk-cycling-insurance/" TargetMode="External"/><Relationship Id="rId284" Type="http://schemas.openxmlformats.org/officeDocument/2006/relationships/hyperlink" Target="https://itbrief.co.uk/story/skoyen-buys-smovin-to-expand-property-software-in-europe" TargetMode="External"/><Relationship Id="rId319" Type="http://schemas.openxmlformats.org/officeDocument/2006/relationships/hyperlink" Target="https://www.prnewswire.com/news-releases/moonpay-acquires-entendre-bringing-agentic-finance-to-the-stablecoin-economy-302805927.html" TargetMode="External"/><Relationship Id="rId37" Type="http://schemas.openxmlformats.org/officeDocument/2006/relationships/hyperlink" Target="https://www.prnewswire.com/news-releases/broadridge-to-acquire-cqg-expanding-global-futures-and-options-trading-capabilities-302680834.html" TargetMode="External"/><Relationship Id="rId58" Type="http://schemas.openxmlformats.org/officeDocument/2006/relationships/hyperlink" Target="https://www.docupace.com/news-events/docupace-acquires-investedge-appoints-brian-filanowski-as-ceo/" TargetMode="External"/><Relationship Id="rId79" Type="http://schemas.openxmlformats.org/officeDocument/2006/relationships/hyperlink" Target="https://wiredscore.com/blog/2026/03/25/meter-acquires-wiredscore-the-global-standard-for-digital-connectivity-in-real-estate/" TargetMode="External"/><Relationship Id="rId102" Type="http://schemas.openxmlformats.org/officeDocument/2006/relationships/hyperlink" Target="https://www.coindesk.com/business/2025/11/03/ripple-acquires-crypto-wallet-firm-palisade-to-expand-institutional-payments-business" TargetMode="External"/><Relationship Id="rId123" Type="http://schemas.openxmlformats.org/officeDocument/2006/relationships/hyperlink" Target="https://www.ixopay.com/news/ixopay-acquires-congrify-bringing-ai-powered-insights-to-global-payment-orchestration-tokenization-and-compliance" TargetMode="External"/><Relationship Id="rId144" Type="http://schemas.openxmlformats.org/officeDocument/2006/relationships/hyperlink" Target="https://finbold.com/redacted-and-tenset-announce-strategic-merger-to-pioneer-next-generation-real-world-asset-opportunities-in-web3/" TargetMode="External"/><Relationship Id="rId90" Type="http://schemas.openxmlformats.org/officeDocument/2006/relationships/hyperlink" Target="https://www.bing.com/search?pglt=2083&amp;q=standardfusion+and+wolters+kluwer&amp;cvid=c632b1e8d82540f09fef0ac28df46b29&amp;gs_lcrp=EgRlZGdlKgYIABBFGDkyBggAEEUYOTIICAEQ6QcY_FXSAQg0NDQ0ajBqMagCALACAA&amp;FORM=ANNAB1&amp;PC=U531" TargetMode="External"/><Relationship Id="rId165" Type="http://schemas.openxmlformats.org/officeDocument/2006/relationships/hyperlink" Target="https://www.ta.com/news/finquery-announces-majority-growth-investment-from-ta-associates/" TargetMode="External"/><Relationship Id="rId186" Type="http://schemas.openxmlformats.org/officeDocument/2006/relationships/hyperlink" Target="https://www.globenewswire.com/de/news-release/2025/11/25/3194408/22940/en/Usio-Acquires-PostCredit-Co.html" TargetMode="External"/><Relationship Id="rId211" Type="http://schemas.openxmlformats.org/officeDocument/2006/relationships/hyperlink" Target="https://investors.procapfinancial.com/news-releases/news-release-details/procap-financial-completes-acquisition-cfo-silvia-leading-ai" TargetMode="External"/><Relationship Id="rId232" Type="http://schemas.openxmlformats.org/officeDocument/2006/relationships/hyperlink" Target="https://www.hellogetsafe.com/en-de/press-releases/getsafe-acquires-helden-de-and-expands-its-position-as-the-next-generation-digital-insurance-platformtedf?awc=19538_1652928837_974515d7a070bafa887b19fc1ab893b5" TargetMode="External"/><Relationship Id="rId253" Type="http://schemas.openxmlformats.org/officeDocument/2006/relationships/hyperlink" Target="https://integrity.com/tcfinancial/" TargetMode="External"/><Relationship Id="rId274" Type="http://schemas.openxmlformats.org/officeDocument/2006/relationships/hyperlink" Target="https://www.fidelity.com/news/article/mergers-and-acquisitions/202605131900PRIMZONEFULLFEED9719969" TargetMode="External"/><Relationship Id="rId295" Type="http://schemas.openxmlformats.org/officeDocument/2006/relationships/hyperlink" Target="https://www.fintechfutures.com/m-a/airwallex-snaps-up-leapfin" TargetMode="External"/><Relationship Id="rId309" Type="http://schemas.openxmlformats.org/officeDocument/2006/relationships/hyperlink" Target="https://www.salesforce.com/news/stories/salesforce-signs-definitive-agreement-to-acquire-m3ter/" TargetMode="External"/><Relationship Id="rId27" Type="http://schemas.openxmlformats.org/officeDocument/2006/relationships/hyperlink" Target="https://www.reuters.com/business/oakley-capital-acquire-glas-135-billion-deal-sky-news-reports-2026-01-04/" TargetMode="External"/><Relationship Id="rId48" Type="http://schemas.openxmlformats.org/officeDocument/2006/relationships/hyperlink" Target="https://www.prnewswire.com/news-releases/polygon-labs-inks-deal-to-acquire-coinme-sequence-for-250m-to-expand-into-us-licensed-stablecoin-payments-302660006.html" TargetMode="External"/><Relationship Id="rId69" Type="http://schemas.openxmlformats.org/officeDocument/2006/relationships/hyperlink" Target="https://www.coindesk.com/business/2026/03/18/polymarket-acquires-defi-brahma-to-build-reliable-financial-blockchain-infrastructure" TargetMode="External"/><Relationship Id="rId113" Type="http://schemas.openxmlformats.org/officeDocument/2006/relationships/hyperlink" Target="https://www.fintechfutures.com/m-a/shift4-enters-exclusive-talks-to-buy-worldlines-north-american-subsidiaries" TargetMode="External"/><Relationship Id="rId134" Type="http://schemas.openxmlformats.org/officeDocument/2006/relationships/hyperlink" Target="https://www.fintechfutures.com/m-a/carta-acquires-sirvatus" TargetMode="External"/><Relationship Id="rId320" Type="http://schemas.openxmlformats.org/officeDocument/2006/relationships/hyperlink" Target="https://www.businesswire.com/news/home/20260622054913/en/FusionIQ-Acquires-Marstone-Uniting-Two-Digital-Wealth-Management-Pioneers" TargetMode="External"/><Relationship Id="rId80" Type="http://schemas.openxmlformats.org/officeDocument/2006/relationships/hyperlink" Target="https://www.morningstar.com/news/business-wire/20260203518961/experian-acquires-own-up-to-expand-mortgage-access-and-consumer-home-loans-in-the-experian-marketplace" TargetMode="External"/><Relationship Id="rId155" Type="http://schemas.openxmlformats.org/officeDocument/2006/relationships/hyperlink" Target="https://www.businesswire.com/news/home/20251027784921/en/Comply-Acquires-Trailight-to-Accelerate-Global-Expansion-and-Create-the-Industrys-First-Fully-Integrated-Firm-and-Employee-Compliance-Platform" TargetMode="External"/><Relationship Id="rId176" Type="http://schemas.openxmlformats.org/officeDocument/2006/relationships/hyperlink" Target="https://davies-group.com/knowledge/davies-acquires-scm-insurance-services/" TargetMode="External"/><Relationship Id="rId197" Type="http://schemas.openxmlformats.org/officeDocument/2006/relationships/hyperlink" Target="https://www.pairsoft.com/resources/news-events/pairsoft-announces-majority-growth-investment-from-ta/" TargetMode="External"/><Relationship Id="rId201" Type="http://schemas.openxmlformats.org/officeDocument/2006/relationships/hyperlink" Target="https://www.onlinemarketplaces.com/articles/rea-group-acquires-neighbourlytics/" TargetMode="External"/><Relationship Id="rId222" Type="http://schemas.openxmlformats.org/officeDocument/2006/relationships/hyperlink" Target="https://www.housingwire.com/articles/new-cheval-holdings-acquires-surge-names-jimmy-gillespie-ceo/" TargetMode="External"/><Relationship Id="rId243" Type="http://schemas.openxmlformats.org/officeDocument/2006/relationships/hyperlink" Target="https://investors.tmx.com/English/News--Events/news/news-details/2026/TMX-Group-Announces-Agreement-to-Acquire-Cboe-Australia-and-Cboe-Canada/default.aspx" TargetMode="External"/><Relationship Id="rId264" Type="http://schemas.openxmlformats.org/officeDocument/2006/relationships/hyperlink" Target="https://www.apax.com/news-views/apax-funds-make-strategic-investment-in-sedex/" TargetMode="External"/><Relationship Id="rId285" Type="http://schemas.openxmlformats.org/officeDocument/2006/relationships/hyperlink" Target="https://www.fintechfutures.com/m-a/exclusive-nordic-capital-backed-activeviam-acquires-derivitec?utm_rid=CPG09000086687082&amp;utm_campaign=57051&amp;utm_medium=email&amp;elq2=b2d4fbfc4e594b8f9360ab734c128ce5&amp;oly_enc_id=&amp;sp_eh=e7ed2e04ddd6e3e6d097d107241448a6702d88f5a9860e8949255f542c847f0a&amp;utm_source=Eloqua" TargetMode="External"/><Relationship Id="rId17" Type="http://schemas.openxmlformats.org/officeDocument/2006/relationships/hyperlink" Target="https://techcrunch.com/2026/01/22/capital-one-acquires-brex-for-steep-discount-to-its-peak-valuation-but-early-believers-are-laughing-all-the-way-to-the-bank/" TargetMode="External"/><Relationship Id="rId38" Type="http://schemas.openxmlformats.org/officeDocument/2006/relationships/hyperlink" Target="https://finance.yahoo.com/news/abrigo-acquires-journey-technology-solutions-164000186.html?guccounter=1" TargetMode="External"/><Relationship Id="rId59" Type="http://schemas.openxmlformats.org/officeDocument/2006/relationships/hyperlink" Target="https://www.prnewswire.com/news-releases/terminus-capital-partners-makes-majority-investment-in-eventus-fueling-firms-continued-global-growth-as-leading-trade-surveillance-market-risk-solutions-provider-302698012.html" TargetMode="External"/><Relationship Id="rId103" Type="http://schemas.openxmlformats.org/officeDocument/2006/relationships/hyperlink" Target="https://www.coindesk.com/business/2025/11/03/ripple-acquires-crypto-wallet-firm-palisade-to-expand-institutional-payments-business" TargetMode="External"/><Relationship Id="rId124" Type="http://schemas.openxmlformats.org/officeDocument/2006/relationships/hyperlink" Target="https://www.bonterratech.com/news-press/bonterra-acquires-onecause" TargetMode="External"/><Relationship Id="rId310" Type="http://schemas.openxmlformats.org/officeDocument/2006/relationships/hyperlink" Target="https://www.businesswire.com/news/home/20260611031601/en/Blockworks-Acquires-Messari-Combining-the-Two-Largest-Crypto-Data-Platforms" TargetMode="External"/><Relationship Id="rId70" Type="http://schemas.openxmlformats.org/officeDocument/2006/relationships/hyperlink" Target="https://www.prnewswire.com/news-releases/theguarantors-announce-growth-investment-from-warburg-pincus-302716073.html" TargetMode="External"/><Relationship Id="rId91" Type="http://schemas.openxmlformats.org/officeDocument/2006/relationships/hyperlink" Target="https://www.fintechfutures.com/m-a/sandp-global-completes-sale-of-edm-and-thinkfolio-businesses-to-stg" TargetMode="External"/><Relationship Id="rId145" Type="http://schemas.openxmlformats.org/officeDocument/2006/relationships/hyperlink" Target="https://www.bing.com/search?q=countour+and+xdc+ventures&amp;cvid=2bb3bd6862324e85a0d996878098528c&amp;gs_lcrp=EgRlZGdlKgYIABBFGDkyBggAEEUYOTIGCAEQABhAMgYIAhAAGEAyBggDEAAYQDIGCAQQABhAMgYIBRAAGEAyCAgGEOkHGPxV0gEINDc4NGowajmoAgiwAgE&amp;FORM=ANAB01&amp;PC=U531" TargetMode="External"/><Relationship Id="rId166" Type="http://schemas.openxmlformats.org/officeDocument/2006/relationships/hyperlink" Target="https://www.businesswire.com/news/home/20251002006853/en/Carta-Acquires-Accelex-to-Deliver-AI-Powered-Data-Automation-and-Transparency-for-Capital-Allocators" TargetMode="External"/><Relationship Id="rId187" Type="http://schemas.openxmlformats.org/officeDocument/2006/relationships/hyperlink" Target="https://www.bing.com/search?q=mortgage+intelligence+acquisition&amp;cvid=4ca84e8a980b46dcb48afe781d1ff522&amp;gs_lcrp=EgRlZGdlKgYIABBFGDkyBggAEEUYOTIICAEQ6QcY_FXSAQg0OTA1ajBqOagCCLACAQ&amp;FORM=ANAB01&amp;PC=U531" TargetMode="External"/><Relationship Id="rId1" Type="http://schemas.openxmlformats.org/officeDocument/2006/relationships/hyperlink" Target="https://www.globenewswire.com/news-release/2026/01/09/3216042/0/en/iAltA-Holdings-Acquires-BridgeFT.html" TargetMode="External"/><Relationship Id="rId212" Type="http://schemas.openxmlformats.org/officeDocument/2006/relationships/hyperlink" Target="https://www.auspayplus.com.au/ap-and-bolt-group-announce-the-next-chapter-for-popular-peer-to-peer-payments-app-beem" TargetMode="External"/><Relationship Id="rId233" Type="http://schemas.openxmlformats.org/officeDocument/2006/relationships/hyperlink" Target="https://www.fintechfutures.com/m-a/euronet-expands-european-footprint-with-paynopain-acquisition" TargetMode="External"/><Relationship Id="rId254" Type="http://schemas.openxmlformats.org/officeDocument/2006/relationships/hyperlink" Target="https://www.fintechfutures.com/m-a/pine-labs-acquires-shopflo" TargetMode="External"/><Relationship Id="rId28" Type="http://schemas.openxmlformats.org/officeDocument/2006/relationships/hyperlink" Target="https://www.nordiccapital.com/news-views/press-releases/1741-group-secures-nordic-capital-as-experienced-financial-investor/" TargetMode="External"/><Relationship Id="rId49" Type="http://schemas.openxmlformats.org/officeDocument/2006/relationships/hyperlink" Target="https://ir.baldwin.com/news-releases/news-release-details/baldwin-group-completes-acquisition-obie-leading-investment" TargetMode="External"/><Relationship Id="rId114" Type="http://schemas.openxmlformats.org/officeDocument/2006/relationships/hyperlink" Target="https://www.fintechfutures.com/m-a/truelayer-buys-swedish-paytech-zimpler" TargetMode="External"/><Relationship Id="rId275" Type="http://schemas.openxmlformats.org/officeDocument/2006/relationships/hyperlink" Target="https://www.fintechfutures.com/m-a/carta-acquires-avantia" TargetMode="External"/><Relationship Id="rId296" Type="http://schemas.openxmlformats.org/officeDocument/2006/relationships/hyperlink" Target="https://fintech.global/2026/06/02/gradient-labs-raises-26m-to-build-ai-agents-for-banks/?_gl=1*1j8jk2x*_up*MQ..*_gs*MQ..&amp;gclid=EAIaIQobChMIvvq08u71lAMVjklHAR338zNaEAAYASAAEgJvmfD_BwE" TargetMode="External"/><Relationship Id="rId300" Type="http://schemas.openxmlformats.org/officeDocument/2006/relationships/hyperlink" Target="https://www.fintechfutures.com/venture-capital-funding/farther-lands-150m-series-d" TargetMode="External"/><Relationship Id="rId60" Type="http://schemas.openxmlformats.org/officeDocument/2006/relationships/hyperlink" Target="https://www.msci.com/discover-msci/media-room/msci-transforms-private-markets-pre-investment-diligence-with-acquisition-of-vantager?utm_source=linkedin&amp;utm_medium=owned_social&amp;utm_product_line=private-assets&amp;utm_campaign=expansion&amp;utm_content=ai&amp;utm_ctype=press-release&amp;utm_corder=launch&amp;utm_msgid=100009933491885&amp;utm_term=vantager-acquisition-announcement-" TargetMode="External"/><Relationship Id="rId81" Type="http://schemas.openxmlformats.org/officeDocument/2006/relationships/hyperlink" Target="https://www.prnewswire.com/news-releases/capstone-holdings-inc-acquires-structurely-positioning-the-company-for-the-next-era-of-ai-driven-sales-automation-302652663.html" TargetMode="External"/><Relationship Id="rId135" Type="http://schemas.openxmlformats.org/officeDocument/2006/relationships/hyperlink" Target="https://www.prnewswire.com/news-releases/lendscape-acquires-winfactor-302582052.html" TargetMode="External"/><Relationship Id="rId156" Type="http://schemas.openxmlformats.org/officeDocument/2006/relationships/hyperlink" Target="https://www.legitscript.com/about/press/legitscript-aquires-kompliant/" TargetMode="External"/><Relationship Id="rId177" Type="http://schemas.openxmlformats.org/officeDocument/2006/relationships/hyperlink" Target="https://www.businesswire.com/news/home/20251126586228/en/Cegid-Acquires-Shine-to-Accelerate-the-Path-of-Becoming-Europes-Leading-Financial-Copilot-for-SMBs-and-Accountants" TargetMode="External"/><Relationship Id="rId198" Type="http://schemas.openxmlformats.org/officeDocument/2006/relationships/hyperlink" Target="https://www.fintechfutures.com/m-a/tyro-acquires-thriday" TargetMode="External"/><Relationship Id="rId321" Type="http://schemas.openxmlformats.org/officeDocument/2006/relationships/hyperlink" Target="https://www.msci.com/discover-msci/media-room/msci-acquires-first-street-to-enhance-physical-climate-risk-capabilities-for-financial-decision-making" TargetMode="External"/><Relationship Id="rId202" Type="http://schemas.openxmlformats.org/officeDocument/2006/relationships/hyperlink" Target="https://www.wvnews.com/news/around_the_web/partners/pr_newswire/subject/personnel_announcements/myabode-acquires-firstlist-expanding-platform-capabilities-and-delivering-private-exclusive-inventory-to-canadian-brokerages/article_022d906b-57b4-500d-94f8-d7fefaa2906f.html" TargetMode="External"/><Relationship Id="rId223" Type="http://schemas.openxmlformats.org/officeDocument/2006/relationships/hyperlink" Target="https://lettuce.co/resources/retirement-planning-just-joined-the-lettuce-platform" TargetMode="External"/><Relationship Id="rId244" Type="http://schemas.openxmlformats.org/officeDocument/2006/relationships/hyperlink" Target="https://www.bec.dk/en/stronger-community/" TargetMode="External"/><Relationship Id="rId18" Type="http://schemas.openxmlformats.org/officeDocument/2006/relationships/hyperlink" Target="https://www.fintechfutures.com/m-a/payoneer-acquires-boundless" TargetMode="External"/><Relationship Id="rId39" Type="http://schemas.openxmlformats.org/officeDocument/2006/relationships/hyperlink" Target="https://www.fintechfutures.com/m-a/checkout-com-acquires-blue-emi" TargetMode="External"/><Relationship Id="rId265" Type="http://schemas.openxmlformats.org/officeDocument/2006/relationships/hyperlink" Target="https://www.insurancebusinessmag.com/us/news/property/k2-grows-small-commercial-reach-with-oculus-underwriters-acquisition-574336.aspx" TargetMode="External"/><Relationship Id="rId286" Type="http://schemas.openxmlformats.org/officeDocument/2006/relationships/hyperlink" Target="https://www.prnewswire.com/news-releases/instant-funding-acquires-funded-trading-plus-increasing-group-revenue-by-70-302782025.html" TargetMode="External"/><Relationship Id="rId50" Type="http://schemas.openxmlformats.org/officeDocument/2006/relationships/hyperlink" Target="https://www.prnewswire.com/news-releases/crs-a-reverence-capital-partners-portfolio-company-announces-sale-to-ridgemont-equity-partners-302654662.html" TargetMode="External"/><Relationship Id="rId104" Type="http://schemas.openxmlformats.org/officeDocument/2006/relationships/hyperlink" Target="https://fintech.global/2025/10/29/guidewire-to-acquire-pronavigator-to-boost-ai-insights/" TargetMode="External"/><Relationship Id="rId125" Type="http://schemas.openxmlformats.org/officeDocument/2006/relationships/hyperlink" Target="https://telematicswire.net/atob-to-acquire-indias-logipe-to-build-next-gen-global-fleet-payments-platform/" TargetMode="External"/><Relationship Id="rId146" Type="http://schemas.openxmlformats.org/officeDocument/2006/relationships/hyperlink" Target="https://www.prnewswire.com/news-releases/fireblocks-acquires-dynamic-to-accelerate-on-chain-adoption-for-fintechs-and-enterprises-302592788.html" TargetMode="External"/><Relationship Id="rId167" Type="http://schemas.openxmlformats.org/officeDocument/2006/relationships/hyperlink" Target="https://markets.ft.com/data/announce/detail?dockey=600-202510070710BIZWIRE_USPRX____20251006_BW084774-1" TargetMode="External"/><Relationship Id="rId188" Type="http://schemas.openxmlformats.org/officeDocument/2006/relationships/hyperlink" Target="https://www.prnewswire.com/news-releases/netvendor-secures-majority-investment-from-five-arrows-to-drive-next-phase-of-growth-302606466.html" TargetMode="External"/><Relationship Id="rId311" Type="http://schemas.openxmlformats.org/officeDocument/2006/relationships/hyperlink" Target="https://fintech.global/2026/06/10/k2-integrity-targets-financial-crime-with-ai-deal/" TargetMode="External"/><Relationship Id="rId71" Type="http://schemas.openxmlformats.org/officeDocument/2006/relationships/hyperlink" Target="https://www.fintechfutures.com/m-a/oaknorth-acquires-monite" TargetMode="External"/><Relationship Id="rId92" Type="http://schemas.openxmlformats.org/officeDocument/2006/relationships/hyperlink" Target="https://my.pitchbook.com/profile/25268-50/company/profile" TargetMode="External"/><Relationship Id="rId213" Type="http://schemas.openxmlformats.org/officeDocument/2006/relationships/hyperlink" Target="https://gusto.com/resources/company-news/gusto-mosey-acquisition" TargetMode="External"/><Relationship Id="rId234" Type="http://schemas.openxmlformats.org/officeDocument/2006/relationships/hyperlink" Target="https://www.fintechfutures.com/m-a/paytabs-acquires-tapn-go" TargetMode="External"/><Relationship Id="rId2" Type="http://schemas.openxmlformats.org/officeDocument/2006/relationships/hyperlink" Target="https://www.coincheckgroup.com/news-events/press-releases/detail/113/coincheck-group-signs-agreement-to-acquire-3iq-a-global-pioneer-in-digital-asset-investment-solutions" TargetMode="External"/><Relationship Id="rId29" Type="http://schemas.openxmlformats.org/officeDocument/2006/relationships/hyperlink" Target="https://fintech.global/2026/01/30/teamsystem-expands-in-spain-with-aig-classic-acquisition/" TargetMode="External"/><Relationship Id="rId255" Type="http://schemas.openxmlformats.org/officeDocument/2006/relationships/hyperlink" Target="https://www.anz.com.au/newsroom/media/2026/april/anz-to-acquire-worldline-sas-share-of-anz-worldlinejjoint-venture/" TargetMode="External"/><Relationship Id="rId276" Type="http://schemas.openxmlformats.org/officeDocument/2006/relationships/hyperlink" Target="https://main.nl/press-release/agenium/" TargetMode="External"/><Relationship Id="rId297" Type="http://schemas.openxmlformats.org/officeDocument/2006/relationships/hyperlink" Target="https://www.wtwco.com/en-gb/news/2026/06/wtw-acquires-redefind-to-strengthen-digital-asset-protection-offering" TargetMode="External"/><Relationship Id="rId40" Type="http://schemas.openxmlformats.org/officeDocument/2006/relationships/hyperlink" Target="https://www.fintechfutures.com/m-a/icapital-expands-investor-onboarding-tools-with-passthrough-acquisition" TargetMode="External"/><Relationship Id="rId115" Type="http://schemas.openxmlformats.org/officeDocument/2006/relationships/hyperlink" Target="https://tracxn.com/d/insights/merger-acquisition-deals-brief/paystrax-acquires-nochex/__-lqhlnK48sorShyRZqE2QKLWDzHzODWQk6QZ5Kx7CR4" TargetMode="External"/><Relationship Id="rId136" Type="http://schemas.openxmlformats.org/officeDocument/2006/relationships/hyperlink" Target="https://ffnews.com/newsarticle/6-months-on-pulse-proves-to-be-a-real-lifeline-for-smes-in-a-volatile-world/" TargetMode="External"/><Relationship Id="rId157" Type="http://schemas.openxmlformats.org/officeDocument/2006/relationships/hyperlink" Target="https://fintech.global/2025/11/21/kyc360-joins-experian-to-boost-end-to-end-compliance/" TargetMode="External"/><Relationship Id="rId178" Type="http://schemas.openxmlformats.org/officeDocument/2006/relationships/hyperlink" Target="https://newsroom.workday.com/2025-11-19-Workday-Signs-Definitive-Agreement-to-Acquire-Pipedream" TargetMode="External"/><Relationship Id="rId301" Type="http://schemas.openxmlformats.org/officeDocument/2006/relationships/hyperlink" Target="https://www.fintechfutures.com/venture-capital-funding/farther-lands-150m-series-d" TargetMode="External"/><Relationship Id="rId322" Type="http://schemas.openxmlformats.org/officeDocument/2006/relationships/hyperlink" Target="https://www.fintechfutures.com/m-a/worldline-sells-cawl-stake-to-credit-agricole" TargetMode="External"/><Relationship Id="rId61" Type="http://schemas.openxmlformats.org/officeDocument/2006/relationships/hyperlink" Target="https://www.abrigo.com/news/abrigo-acquisition-360view/" TargetMode="External"/><Relationship Id="rId82" Type="http://schemas.openxmlformats.org/officeDocument/2006/relationships/hyperlink" Target="https://fintechmagazine.com/news/visa-acquires-newpay-and-prisma-from-advent" TargetMode="External"/><Relationship Id="rId199" Type="http://schemas.openxmlformats.org/officeDocument/2006/relationships/hyperlink" Target="https://www.fintechfutures.com/m-a/shawbrook-acquires-playter" TargetMode="External"/><Relationship Id="rId203" Type="http://schemas.openxmlformats.org/officeDocument/2006/relationships/hyperlink" Target="https://mergermarket.ionanalytics.com/content/1004393680?source=news&amp;q=proptech%20" TargetMode="External"/><Relationship Id="rId19" Type="http://schemas.openxmlformats.org/officeDocument/2006/relationships/hyperlink" Target="https://fintech.global/2026/01/23/helium-ventures-acquires-insurgrid-to-boost-insurtech-growth/" TargetMode="External"/><Relationship Id="rId224" Type="http://schemas.openxmlformats.org/officeDocument/2006/relationships/hyperlink" Target="https://www.fintechfutures.com/m-a/openai-snaps-up-ai-personal-finance-start-up-hiro" TargetMode="External"/><Relationship Id="rId245" Type="http://schemas.openxmlformats.org/officeDocument/2006/relationships/hyperlink" Target="https://www.globenewswire.com/news-release/2026/04/29/3284155/0/en/ialta-holdings-acquires-precept.html" TargetMode="External"/><Relationship Id="rId266" Type="http://schemas.openxmlformats.org/officeDocument/2006/relationships/hyperlink" Target="https://www.housingwire.com/articles/carrington-buys-valon-mortgage/" TargetMode="External"/><Relationship Id="rId287" Type="http://schemas.openxmlformats.org/officeDocument/2006/relationships/hyperlink" Target="https://www.fonoa.com/resources/blog/fonoa-raises-funding-and-acquires-indirect-tax-edge" TargetMode="External"/><Relationship Id="rId30" Type="http://schemas.openxmlformats.org/officeDocument/2006/relationships/hyperlink" Target="https://www.fintechfutures.com/m-a/corpay-sells-paybyphone-to-lightyear-capital" TargetMode="External"/><Relationship Id="rId105" Type="http://schemas.openxmlformats.org/officeDocument/2006/relationships/hyperlink" Target="https://fortune.com/crypto/2025/10/22/modern-treasury-beam-stablecoin-startup-acquisition-40-million-all-stock/" TargetMode="External"/><Relationship Id="rId126" Type="http://schemas.openxmlformats.org/officeDocument/2006/relationships/hyperlink" Target="https://www.prnewswire.com/news-releases/lolli-acquires-slice-to-unify-bitcoin-rewards-space-302602414.html" TargetMode="External"/><Relationship Id="rId147" Type="http://schemas.openxmlformats.org/officeDocument/2006/relationships/hyperlink" Target="https://www.bing.com/search?q=stable+finance+and+aave&amp;cvid=98e109bd6a60402aa70df07185bfd0ef&amp;gs_lcrp=EgRlZGdlKgYIABBFGDkyBggAEEUYOTIGCAEQABhAMgYIAhAAGEAyBggDEAAYQDIGCAQQABhAMgYIBRAAGEAyBggGEAAYQDIGCAcQABhAMgYICBAAGEAyCAgJEOkHGPxV0gEINDg4MWowajmoAgiwAgE&amp;FORM=ANAB01&amp;PC=U531" TargetMode="External"/><Relationship Id="rId168" Type="http://schemas.openxmlformats.org/officeDocument/2006/relationships/hyperlink" Target="https://www.sage.com/investors/investor-downloads/press-releases/2025/10/sage-acquires-criterion-to-simplify-cloud-payroll-and-human-capital-management/" TargetMode="External"/><Relationship Id="rId312" Type="http://schemas.openxmlformats.org/officeDocument/2006/relationships/hyperlink" Target="https://www.kiavi.com/press/figure-acquires-kiavi" TargetMode="External"/><Relationship Id="rId51" Type="http://schemas.openxmlformats.org/officeDocument/2006/relationships/hyperlink" Target="https://www.govtech.com/biz/cleargov-merges-with-gravity-in-private-equity-deal" TargetMode="External"/><Relationship Id="rId72" Type="http://schemas.openxmlformats.org/officeDocument/2006/relationships/hyperlink" Target="https://fintech.global/2026/03/12/gen-acquires-trellis-to-expand-ai-powered-insurance-offerings/" TargetMode="External"/><Relationship Id="rId93" Type="http://schemas.openxmlformats.org/officeDocument/2006/relationships/hyperlink" Target="https://www.junipersquare.com/news/tenor?utm_source=linkedin&amp;utm_medium=organic&amp;utm_campaign=tenor&amp;utm_content=jsq&amp;utm_campaign_theme=company" TargetMode="External"/><Relationship Id="rId189" Type="http://schemas.openxmlformats.org/officeDocument/2006/relationships/hyperlink" Target="https://www.bing.com/search?q=fundinfo+and+finscape&amp;cvid=d811f8d9c2d34340a670adbecfc055bc&amp;gs_lcrp=EgRlZGdlKgYIABBFGDkyBggAEEUYOTIICAEQ6QcY_FXSAQg0MDI4ajBqOagCCLACAQ&amp;FORM=ANAB01&amp;PC=U531" TargetMode="External"/><Relationship Id="rId3" Type="http://schemas.openxmlformats.org/officeDocument/2006/relationships/hyperlink" Target="https://www.fintechfutures.com/m-a/zilch-to-acquire-lithuanian-challenger-fjord-bank-in-european-expansion-push" TargetMode="External"/><Relationship Id="rId214" Type="http://schemas.openxmlformats.org/officeDocument/2006/relationships/hyperlink" Target="https://www.fintechfutures.com/m-a/mimir-payex-acquisition-everspring" TargetMode="External"/><Relationship Id="rId235" Type="http://schemas.openxmlformats.org/officeDocument/2006/relationships/hyperlink" Target="https://www.fintechfutures.com/m-a/cuscal-expands-presence-in-new-zealand-with-paymark-acquisition" TargetMode="External"/><Relationship Id="rId256" Type="http://schemas.openxmlformats.org/officeDocument/2006/relationships/hyperlink" Target="https://www.bregal.com/news/bregal-milestone-announces-majority-growth-investment-in-corego-a-leading-european-open-loop-payment-and-event-technology-company/" TargetMode="External"/><Relationship Id="rId277" Type="http://schemas.openxmlformats.org/officeDocument/2006/relationships/hyperlink" Target="https://www.financemagnates.com/thought-leadership/paymodum-announces-acquisition-of-floid-inc-to-strengthen-us-bank-payment-capabilities/" TargetMode="External"/><Relationship Id="rId298" Type="http://schemas.openxmlformats.org/officeDocument/2006/relationships/hyperlink" Target="https://www.finastra.com/press-media/cora-group-acquires-finastras-phoenix-core-system-malauzai-digital-banking-and-fusion" TargetMode="External"/><Relationship Id="rId116" Type="http://schemas.openxmlformats.org/officeDocument/2006/relationships/hyperlink" Target="https://www.fintechfutures.com/m-a/allica-bank-acquires-kriya" TargetMode="External"/><Relationship Id="rId137" Type="http://schemas.openxmlformats.org/officeDocument/2006/relationships/hyperlink" Target="https://finance.yahoo.com/news/digital-storefront-announces-board-industry-124500232.html?guccounter=1&amp;guce_referrer=aHR0cHM6Ly93d3cuYmluZy5jb20v&amp;guce_referrer_sig=AQAAAJHJ_AI9yTF2lmFmkmbu8LWjwlgcsZuILZ24OyrXezRkNccL3YheO5ff5EOlxPPbmC_tpcYvOXJYiWObeXFxz3hHsmMmLRi0e_VvBaFYmpMHDwks7Ma3brFMKe08eJOO0EojdRLw6a-OjJCea-GMqnnjeTxxi7KanTznYxiPpk_Q" TargetMode="External"/><Relationship Id="rId158" Type="http://schemas.openxmlformats.org/officeDocument/2006/relationships/hyperlink" Target="https://www.prnewswire.com/news-releases/auditboard-announces-acquisition-of-fairnow-to-expand-ai-governance-capabilities-302591715.html" TargetMode="External"/><Relationship Id="rId302" Type="http://schemas.openxmlformats.org/officeDocument/2006/relationships/hyperlink" Target="https://www.fintechfutures.com/venture-capital-funding/farther-lands-150m-series-d" TargetMode="External"/><Relationship Id="rId323" Type="http://schemas.openxmlformats.org/officeDocument/2006/relationships/hyperlink" Target="https://www.fintechfutures.com/m-a/lemfi-acquires-wealth8" TargetMode="External"/><Relationship Id="rId20" Type="http://schemas.openxmlformats.org/officeDocument/2006/relationships/hyperlink" Target="https://finovate.com/airwallex-acquires-paynuri-to-move-into-korea/" TargetMode="External"/><Relationship Id="rId41" Type="http://schemas.openxmlformats.org/officeDocument/2006/relationships/hyperlink" Target="https://www.fintechfutures.com/m-a/singapore-s-grab-agrees-to-acquire-stash-financial-for-425m" TargetMode="External"/><Relationship Id="rId62" Type="http://schemas.openxmlformats.org/officeDocument/2006/relationships/hyperlink" Target="https://www.fintechfutures.com/m-a/flowpay-acquires-tapline" TargetMode="External"/><Relationship Id="rId83" Type="http://schemas.openxmlformats.org/officeDocument/2006/relationships/hyperlink" Target="https://www.bing.com/search?q=kubo+financiero+and+credito+mastro&amp;cvid=c948b342540440088200f64395b4d4a5&amp;gs_lcrp=EgRlZGdlKgYIABBFGDkyBggAEEUYOTIGCAEQABhAMgYIAhAAGEAyBggDEAAYQDIGCAQQABhAMgYIBRAAGEAyBggGEAAYQDIICAcQ6QcY_FXSAQg1MDg0ajBqOagCCLACAQ&amp;FORM=ANAB01&amp;PC=U531" TargetMode="External"/><Relationship Id="rId179" Type="http://schemas.openxmlformats.org/officeDocument/2006/relationships/hyperlink" Target="https://prospend.com/media/prospend-joins-ish-to-accelerate-global-growth-in-spend-management" TargetMode="External"/><Relationship Id="rId190" Type="http://schemas.openxmlformats.org/officeDocument/2006/relationships/hyperlink" Target="https://www.businesswire.com/news/home/20251107436859/en/Paystand-Acquires-Bitwage-to-Make-Stablecoins-Enterprise-Grade-for-Global-B2B-Finance" TargetMode="External"/><Relationship Id="rId204" Type="http://schemas.openxmlformats.org/officeDocument/2006/relationships/hyperlink" Target="https://www.morningstar.com/news/pr-newswire/20251110ln20184/propy-completes-first-acquisition-under-its-100m-ai-roll-up-strategy-entering-alabama" TargetMode="External"/><Relationship Id="rId225" Type="http://schemas.openxmlformats.org/officeDocument/2006/relationships/hyperlink" Target="https://www.prnewswire.com/news-releases/juniper-square-acquires-sightglass-to-bolster-ai-capabilities-for-private-markets-investor-relations-302739001.html" TargetMode="External"/><Relationship Id="rId246" Type="http://schemas.openxmlformats.org/officeDocument/2006/relationships/hyperlink" Target="https://www.prnewswire.com/news-releases/western--southern-financial-group-acquires-till-financial-expanding-into-digital-family-banking-services-and-investing-in-the-next-generation-302754657.html" TargetMode="External"/><Relationship Id="rId267" Type="http://schemas.openxmlformats.org/officeDocument/2006/relationships/hyperlink" Target="https://www.businesswire.com/news/home/20260507546580/en/Payward-to-Acquire-Reap-to-Expand-B2B-Offering-with-Global-Payments-Infrastructure" TargetMode="External"/><Relationship Id="rId288" Type="http://schemas.openxmlformats.org/officeDocument/2006/relationships/hyperlink" Target="https://www.costargroup.com/press-room/2026/costar-group-acquire-zonda-leader-new-home-data-analytics-and-online-marketplaces" TargetMode="External"/><Relationship Id="rId106" Type="http://schemas.openxmlformats.org/officeDocument/2006/relationships/hyperlink" Target="https://www.businesswire.com/news/home/20251106844014/en/Charles-Schwab-to-Acquire-Forge-Global-Creating-Premier-Destination-to-Democratize-Access-to-Private-Markets" TargetMode="External"/><Relationship Id="rId127" Type="http://schemas.openxmlformats.org/officeDocument/2006/relationships/hyperlink" Target="https://www.prnewswire.com/news-releases/cerberus-acquires-brocc-finance-to-support-growth-and-strategic-expansion-into-european-npl-asset-management-302599740.html" TargetMode="External"/><Relationship Id="rId313" Type="http://schemas.openxmlformats.org/officeDocument/2006/relationships/hyperlink" Target="https://www.globenewswire.com/news-release/2026/06/16/3312647/0/en/Open-Lending-Enters-into-Merger-Agreement-to-be-Acquired-by-ANV.html" TargetMode="External"/><Relationship Id="rId10" Type="http://schemas.openxmlformats.org/officeDocument/2006/relationships/hyperlink" Target="https://www.atomicvest.com/news/atomic-invest-acquires-groene-hart-financial-diensten-to-expand-across-europe" TargetMode="External"/><Relationship Id="rId31" Type="http://schemas.openxmlformats.org/officeDocument/2006/relationships/hyperlink" Target="https://www.fintechfutures.com/m-a/arcesium-acquires-limina" TargetMode="External"/><Relationship Id="rId52" Type="http://schemas.openxmlformats.org/officeDocument/2006/relationships/hyperlink" Target="https://www.reuters.com/business/haveli-buy-majority-stake-contract-software-firm-sirion-2026-01-08/" TargetMode="External"/><Relationship Id="rId73" Type="http://schemas.openxmlformats.org/officeDocument/2006/relationships/hyperlink" Target="https://www.prnewswire.com/news-releases/ramp-acquires-billhop-to-expand-access-for-uk-and-european-customers-302712928.html" TargetMode="External"/><Relationship Id="rId94" Type="http://schemas.openxmlformats.org/officeDocument/2006/relationships/hyperlink" Target="https://www.withintelligence.com/press-releases/sp-global-agrees-to-acquire-with-intelligence/" TargetMode="External"/><Relationship Id="rId148" Type="http://schemas.openxmlformats.org/officeDocument/2006/relationships/hyperlink" Target="https://investor.protective.com/newsroom/press-releases/press-release-details/2025/Protective-to-Acquire-Portfolio-Enhancing-Dealer-Wealth-and-FI-Solutions/default.aspx" TargetMode="External"/><Relationship Id="rId169" Type="http://schemas.openxmlformats.org/officeDocument/2006/relationships/hyperlink" Target="https://www.prnewswire.com/news-releases/synacti-acquires-myexpattaxes-expat-tax-software-302574213.html" TargetMode="External"/><Relationship Id="rId4" Type="http://schemas.openxmlformats.org/officeDocument/2006/relationships/hyperlink" Target="https://techcrunch.com/2026/01/05/flutterwave-buys-nigerias-mono-in-rare-african-fintech-exit/" TargetMode="External"/><Relationship Id="rId180" Type="http://schemas.openxmlformats.org/officeDocument/2006/relationships/hyperlink" Target="https://www.bing.com/search?q=farpay+and+POM&amp;cvid=b2220bdbd26d43beafdfe9f8a482c638&amp;gs_lcrp=EgRlZGdlKgYIABBFGDkyBggAEEUYOTIGCAEQABhAMgYIAhAAGEAyBggDEAAYQDIGCAQQABhAMgYIBRAAGEAyBggGEAAYQDIGCAcQABhAMgYICBAAGEAyCAgJEOkHGPxV0gEIMjM4MmowajmoAgiwAgE&amp;FORM=ANAB01&amp;PC=U531" TargetMode="External"/><Relationship Id="rId215" Type="http://schemas.openxmlformats.org/officeDocument/2006/relationships/hyperlink" Target="https://fintech.global/2026/04/09/katrisk-buys-red-to-strengthen-global-cat-modeling/" TargetMode="External"/><Relationship Id="rId236" Type="http://schemas.openxmlformats.org/officeDocument/2006/relationships/hyperlink" Target="https://www.morningstar.com/news/alliance-news/1776161298847021500/mortgage-advice-bureau-buys-homeowners-alliance-in-gbp14-million-deal" TargetMode="External"/><Relationship Id="rId257" Type="http://schemas.openxmlformats.org/officeDocument/2006/relationships/hyperlink" Target="https://grepbeat.com/2026/04/28/charlottes-streetfair-announces-acquisition-by-thumbtack/" TargetMode="External"/><Relationship Id="rId278" Type="http://schemas.openxmlformats.org/officeDocument/2006/relationships/hyperlink" Target="https://capital-riesgo.es/en/articles/partenea-invests-in-misterplan/" TargetMode="External"/><Relationship Id="rId303" Type="http://schemas.openxmlformats.org/officeDocument/2006/relationships/hyperlink" Target="https://www.fintechfutures.com/venture-capital-funding/farther-lands-150m-series-d" TargetMode="External"/><Relationship Id="rId42" Type="http://schemas.openxmlformats.org/officeDocument/2006/relationships/hyperlink" Target="https://chimney.io/insights/array-acquires-chimney-to-expand-digital-financial-tools-for-institutions" TargetMode="External"/><Relationship Id="rId84" Type="http://schemas.openxmlformats.org/officeDocument/2006/relationships/hyperlink" Target="https://step.com/press/beast-industries-acquires-step-expanding-its-platform-to-include-financial" TargetMode="External"/><Relationship Id="rId138" Type="http://schemas.openxmlformats.org/officeDocument/2006/relationships/hyperlink" Target="https://www.cnbc.com/2025/10/21/draftkings-railbird-predictions-platform-acquisition.html?msockid=3b6032d33cd3628a186626333d236320" TargetMode="External"/><Relationship Id="rId191" Type="http://schemas.openxmlformats.org/officeDocument/2006/relationships/hyperlink" Target="https://www.prnewswire.com/news-releases/equifax-announces-acquisition-of-vault-verify-302617586.html" TargetMode="External"/><Relationship Id="rId205" Type="http://schemas.openxmlformats.org/officeDocument/2006/relationships/hyperlink" Target="https://www.greathillpartners.com/media/great-hill-partners-announces-strategic-growth-investment-in-philanthropy-tech-platform-ren" TargetMode="External"/><Relationship Id="rId247" Type="http://schemas.openxmlformats.org/officeDocument/2006/relationships/hyperlink" Target="https://www.morningstar.com/news/accesswire/1162810msn/ai-financial-corporation-completes-acquisition-of-block-street" TargetMode="External"/><Relationship Id="rId107" Type="http://schemas.openxmlformats.org/officeDocument/2006/relationships/hyperlink" Target="https://hgcapital.com/insights/diamant-software-welcomes-hg-as-a-long-term-partner" TargetMode="External"/><Relationship Id="rId289" Type="http://schemas.openxmlformats.org/officeDocument/2006/relationships/hyperlink" Target="https://fintech.global/2026/06/02/insurwave-sells-ai-submission-ingestion-capability-to-portage-ai/?_gl=1*t27xyb*_up*MQ..*_gs*MQ..&amp;gclid=EAIaIQobChMIvvq08u71lAMVjklHAR338zNaEAAYASAAEgJvmfD_BwE" TargetMode="External"/><Relationship Id="rId11" Type="http://schemas.openxmlformats.org/officeDocument/2006/relationships/hyperlink" Target="https://www.exegy.com/exegy-acquires-novasparks/" TargetMode="External"/><Relationship Id="rId53" Type="http://schemas.openxmlformats.org/officeDocument/2006/relationships/hyperlink" Target="https://www.fintechfutures.com/m-a/bridgewise-acquires-context-analytics" TargetMode="External"/><Relationship Id="rId149" Type="http://schemas.openxmlformats.org/officeDocument/2006/relationships/hyperlink" Target="https://insurtechdigital.com/news/ntt-data-acquires-alchemy-technology-services" TargetMode="External"/><Relationship Id="rId314" Type="http://schemas.openxmlformats.org/officeDocument/2006/relationships/hyperlink" Target="https://www.finastra.com/press-media/pollen-street-capital-acquire-universal-banking" TargetMode="External"/><Relationship Id="rId95" Type="http://schemas.openxmlformats.org/officeDocument/2006/relationships/hyperlink" Target="https://www.businesswire.com/news/home/20251016697362/en/Ripple-Breaks-Into-Corporate-Treasury-With-%241B-GTreasury-Acquisition" TargetMode="External"/><Relationship Id="rId160" Type="http://schemas.openxmlformats.org/officeDocument/2006/relationships/hyperlink" Target="https://www.bing.com/search?q=datatools+and+gb+group&amp;cvid=4ec88e0c57e04b3d81b60b58911936b9&amp;gs_lcrp=EgRlZGdlKgYIABBFGDkyBggAEEUYOTIGCAEQABhAMggIAhDpBxj8VdIBCDUwMTVqMGo5qAIIsAIB&amp;FORM=ANAB01&amp;PC=U531" TargetMode="External"/><Relationship Id="rId216" Type="http://schemas.openxmlformats.org/officeDocument/2006/relationships/hyperlink" Target="https://fintech.global/2026/04/10/pello-companies-to-acquire-byallaccounts-from-morningstar/" TargetMode="External"/><Relationship Id="rId258" Type="http://schemas.openxmlformats.org/officeDocument/2006/relationships/hyperlink" Target="https://www.fintechfutures.com/m-a/bullish-to-acquire-equiniti-for-4.2bn" TargetMode="External"/><Relationship Id="rId22" Type="http://schemas.openxmlformats.org/officeDocument/2006/relationships/hyperlink" Target="https://fintech.global/2026/01/28/akur8-acquires-matrisk-to-enhance-ai-pricing-platform/" TargetMode="External"/><Relationship Id="rId64" Type="http://schemas.openxmlformats.org/officeDocument/2006/relationships/hyperlink" Target="https://www.summitpartners.com/news/tradinghub-secures-strategic-investment-from-nordic-capital" TargetMode="External"/><Relationship Id="rId118" Type="http://schemas.openxmlformats.org/officeDocument/2006/relationships/hyperlink" Target="https://psgequity.com/news/psg-completes-sale-of-versatile-credit-to-synchrony" TargetMode="External"/><Relationship Id="rId325" Type="http://schemas.openxmlformats.org/officeDocument/2006/relationships/hyperlink" Target="https://www.finextra.com/pressarticle/110311/finova-acquires-cubit-labs-to-accelerate-its-future-of-lending-strategy" TargetMode="External"/><Relationship Id="rId171" Type="http://schemas.openxmlformats.org/officeDocument/2006/relationships/hyperlink" Target="https://finance.yahoo.com/news/reasons-why-invest-green-dot-154500442.html" TargetMode="External"/><Relationship Id="rId227" Type="http://schemas.openxmlformats.org/officeDocument/2006/relationships/hyperlink" Target="https://bitnomial.com/news/2026-04-17/payward-to-acquire-bitnomial/" TargetMode="External"/><Relationship Id="rId269" Type="http://schemas.openxmlformats.org/officeDocument/2006/relationships/hyperlink" Target="https://www.fintechfutures.com/m-a/bullish-to-acquire-equiniti-for-4.2bn" TargetMode="External"/><Relationship Id="rId33" Type="http://schemas.openxmlformats.org/officeDocument/2006/relationships/hyperlink" Target="https://www.reuters.com/legal/transactional/willis-towers-watson-buy-brokerage-firm-newfront-13-billion-deal-2025-12-10/" TargetMode="External"/><Relationship Id="rId129" Type="http://schemas.openxmlformats.org/officeDocument/2006/relationships/hyperlink" Target="https://www.prnewswire.com/news-releases/partnerone-enters-agreement-to-acquire-mortgage-cadence-302597067.html" TargetMode="External"/><Relationship Id="rId280" Type="http://schemas.openxmlformats.org/officeDocument/2006/relationships/hyperlink" Target="https://www.fintechfutures.com/m-a/7ridge-acquires-fisv-portfolio-from-fidelity-international" TargetMode="External"/><Relationship Id="rId75" Type="http://schemas.openxmlformats.org/officeDocument/2006/relationships/hyperlink" Target="file:///C:\Users\ggrigor\AppData\Roaming\Microsoft\Excel\Developer%20of%20an%20alternative%20assets%20platform%20designed%20to%20help%20retail%20investors%20invest%20in%20fine%20wine" TargetMode="External"/><Relationship Id="rId140" Type="http://schemas.openxmlformats.org/officeDocument/2006/relationships/hyperlink" Target="https://www.prnewswire.com/news-releases/simplicity-expands-fee-based-insurance-offering-with-retireone-acquisition-and-welcomes-david-stone-jeff-cusack-and-ed-mercier-as-its-newest-partners-302580512.html" TargetMode="External"/><Relationship Id="rId182" Type="http://schemas.openxmlformats.org/officeDocument/2006/relationships/hyperlink" Target="https://www.bing.com/search?q=etpay+acquired+by+monnet+payments&amp;cvid=a424fd93b92242cda5e249f405c9cc8e&amp;gs_lcrp=EgRlZGdlKgYIABBFGDkyBggAEEUYOTIICAEQ6QcY_FXSAQg3NTY2ajBqOagCCLACAQ&amp;FORM=ANAB01&amp;PC=U531" TargetMode="External"/><Relationship Id="rId6" Type="http://schemas.openxmlformats.org/officeDocument/2006/relationships/hyperlink" Target="https://www.fintechfutures.com/m-a/hg-to-acquire-onestream-in-6-4bn-deal" TargetMode="External"/><Relationship Id="rId238" Type="http://schemas.openxmlformats.org/officeDocument/2006/relationships/hyperlink" Target="https://www.adyen.com/press-and-media/2i4hnm0pfcpvc7" TargetMode="External"/><Relationship Id="rId291" Type="http://schemas.openxmlformats.org/officeDocument/2006/relationships/hyperlink" Target="https://fintech.global/2026/06/05/honeycomb-insurance-raises-40m-in-zeev-ventures-led-round/?_gl=1*7s1y6q*_up*MQ..*_gs*MQ..&amp;gclid=EAIaIQobChMIvvq08u71lAMVjklHAR338zNaEAAYASAAEgJvmfD_BwE" TargetMode="External"/><Relationship Id="rId305" Type="http://schemas.openxmlformats.org/officeDocument/2006/relationships/hyperlink" Target="https://www.kaupr.io/en/news/danish-penning-acquires-lithuanian-wealth-manager-veli" TargetMode="External"/><Relationship Id="rId44" Type="http://schemas.openxmlformats.org/officeDocument/2006/relationships/hyperlink" Target="https://www.fintechfutures.com/m-a/wrisk-enhances-embedded-insurance-offerings-with-atto-acquisition" TargetMode="External"/><Relationship Id="rId86" Type="http://schemas.openxmlformats.org/officeDocument/2006/relationships/hyperlink" Target="https://finance.yahoo.com/news/model-ml-buys-captide-financial-164300611.html?guccounter=1&amp;guce_referrer=aHR0cHM6Ly93d3cuYmluZy5jb20v&amp;guce_referrer_sig=AQAAAJHJ_AI9yTF2lmFmkmbu8LWjwlgcsZuILZ24OyrXezRkNccL3YheO5ff5EOlxPPbmC_tpcYvOXJYiWObeXFxz3hHsmMmLRi0e_VvBaFYmpMHDwks7Ma3brFMKe08eJOO0EojdRLw6a-OjJCea-GMqnnjeTxxi7KanTznYxiPpk_Q" TargetMode="External"/><Relationship Id="rId151" Type="http://schemas.openxmlformats.org/officeDocument/2006/relationships/hyperlink" Target="https://www.morningstar.com/news/business-wire/20251008524875/equal-parts-acquires-strategic-insurance-to-expand-footprint-in-new-mexico" TargetMode="External"/><Relationship Id="rId193" Type="http://schemas.openxmlformats.org/officeDocument/2006/relationships/hyperlink" Target="https://fintech.global/2025/12/23/permira-and-warburg-pincus-agree-8-4bn-clearwater-deal/" TargetMode="External"/><Relationship Id="rId207" Type="http://schemas.openxmlformats.org/officeDocument/2006/relationships/hyperlink" Target="https://coverager.com/ibynd-acquires-semsee-to-create-end-to-end-digital-infrastructure-for-commercial-insurance-distribution/" TargetMode="External"/><Relationship Id="rId249" Type="http://schemas.openxmlformats.org/officeDocument/2006/relationships/hyperlink" Target="https://main.nl/press-release/mach-gmbh-acquires-sms-stiewi-gmbh/" TargetMode="External"/><Relationship Id="rId13" Type="http://schemas.openxmlformats.org/officeDocument/2006/relationships/hyperlink" Target="https://investors.bakkt.com/news-releases/news-release-details/bakkt-agrees-acquire-distributed-technologies-research-ltd" TargetMode="External"/><Relationship Id="rId109" Type="http://schemas.openxmlformats.org/officeDocument/2006/relationships/hyperlink" Target="https://www.businesswire.com/news/home/20251110424752/en/State-Street-Acquires-PriceStats-Global-Leader-in-Inflation-Analytics" TargetMode="External"/><Relationship Id="rId260" Type="http://schemas.openxmlformats.org/officeDocument/2006/relationships/hyperlink" Target="https://www.fintechfutures.com/m-a/freo-to-acquire-indialends" TargetMode="External"/><Relationship Id="rId316" Type="http://schemas.openxmlformats.org/officeDocument/2006/relationships/hyperlink" Target="https://ir.fathominc.com/news-events/press-releases/detail/180/" TargetMode="External"/><Relationship Id="rId55" Type="http://schemas.openxmlformats.org/officeDocument/2006/relationships/hyperlink" Target="https://www.fintechfutures.com/m-a/centralis-to-acquire-pine-advisor-solutions" TargetMode="External"/><Relationship Id="rId97" Type="http://schemas.openxmlformats.org/officeDocument/2006/relationships/hyperlink" Target="https://www.communify.com/blog/press-release-communify-acquires-empaxis-data-management-unlocking-the-power-of-communifys-mind-ai-for-wealth-and-asset-management-firms/" TargetMode="External"/><Relationship Id="rId120" Type="http://schemas.openxmlformats.org/officeDocument/2006/relationships/hyperlink" Target="https://ffnews.com/newsarticle/bold-penguin-acquires-squarerisk-expanding-es-and-specialty-markets-while-adding-digital-wholesale-operations/" TargetMode="External"/><Relationship Id="rId162" Type="http://schemas.openxmlformats.org/officeDocument/2006/relationships/hyperlink" Target="https://www.fintechfutures.com/m-a/sidetrade-to-acquire-ezycollect" TargetMode="External"/><Relationship Id="rId218" Type="http://schemas.openxmlformats.org/officeDocument/2006/relationships/hyperlink" Target="https://www.prnewswire.com/news-releases/helium-ventures-acquires-maroo-business-management-and-payments-platform-for-creative-and-event-businesses-302735646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tech.global/2025/10/28/compliance-platform-formalize-secures-e30m-boost/" TargetMode="External"/><Relationship Id="rId299" Type="http://schemas.openxmlformats.org/officeDocument/2006/relationships/hyperlink" Target="https://www.businesswire.com/news/home/20260630510937/en/MDOTM-Raises-%2427M-Growth-Equity-Round-Led-by-Expedition-Growth-Capital-as-AI-Adoption-Permeates-the-Asset-and-Wealth-Management-Industry" TargetMode="External"/><Relationship Id="rId21" Type="http://schemas.openxmlformats.org/officeDocument/2006/relationships/hyperlink" Target="https://www.wealthtechstrategy.com/post/aquilance-receives-16m-investment-from-private-equity-firm-ten-coves" TargetMode="External"/><Relationship Id="rId63" Type="http://schemas.openxmlformats.org/officeDocument/2006/relationships/hyperlink" Target="https://www.fintechfutures.com/m-a/centralis-to-acquire-pine-advisor-solutions" TargetMode="External"/><Relationship Id="rId159" Type="http://schemas.openxmlformats.org/officeDocument/2006/relationships/hyperlink" Target="https://techcrunch.com/2025/11/20/source-kalshis-valuation-jumps-to-11b-after-raising-massive-1b-round/" TargetMode="External"/><Relationship Id="rId170" Type="http://schemas.openxmlformats.org/officeDocument/2006/relationships/hyperlink" Target="https://www.prnewswire.com/news-releases/model-ml-raises-75m-in-one-of-the-largest-fintech-series-a-rounds-in-history-to-transform-financial-services-with-ai-workflow-automation-302624414.html" TargetMode="External"/><Relationship Id="rId226" Type="http://schemas.openxmlformats.org/officeDocument/2006/relationships/hyperlink" Target="https://www.businesswire.com/news/home/20260501170322/en/Global-Payments-Company-Fun-Raises-%2472-Million-in-Series-A-to-Power-Next-Gen-Financial-Services" TargetMode="External"/><Relationship Id="rId268" Type="http://schemas.openxmlformats.org/officeDocument/2006/relationships/hyperlink" Target="https://www.prnewswire.com/news-releases/forage-raises-additional-40m-to-help-low-income-families-save-on-groceries-302789551.html" TargetMode="External"/><Relationship Id="rId32" Type="http://schemas.openxmlformats.org/officeDocument/2006/relationships/hyperlink" Target="https://fintech.global/2026/02/02/varo-bank-raises-123-9m-growth-round-led-by-coliseum-capital/" TargetMode="External"/><Relationship Id="rId74" Type="http://schemas.openxmlformats.org/officeDocument/2006/relationships/hyperlink" Target="https://www.businesswire.com/news/home/20260218544563/en/Payra-and-Edison-Partners-Announce-%2415M-Growth-Investment-to-Modernize-Accounts-Receivable-for-Americas-Heartland-Businesses" TargetMode="External"/><Relationship Id="rId128" Type="http://schemas.openxmlformats.org/officeDocument/2006/relationships/hyperlink" Target="https://www.fnz.com/news/fnz-raises-usd650-million-from-existing-institutional-shareholders" TargetMode="External"/><Relationship Id="rId5" Type="http://schemas.openxmlformats.org/officeDocument/2006/relationships/hyperlink" Target="https://www.fintechfutures.com/venture-capital-funding/welab-raises-220m-series-d" TargetMode="External"/><Relationship Id="rId181" Type="http://schemas.openxmlformats.org/officeDocument/2006/relationships/hyperlink" Target="https://fintech.global/2025/12/19/stablecoin-payments-firm-redotpay-bags-107m-funding/" TargetMode="External"/><Relationship Id="rId237" Type="http://schemas.openxmlformats.org/officeDocument/2006/relationships/hyperlink" Target="https://www.fasset.com/blog/fasset-has-raised-a-51-million-series-b-round" TargetMode="External"/><Relationship Id="rId279" Type="http://schemas.openxmlformats.org/officeDocument/2006/relationships/hyperlink" Target="https://www.prnewswire.com/news-releases/ripple-participates-in-flutterwaves-series-e-with-strategic-investment-to-accelerate-african-stablecoin-payments-302801599.html" TargetMode="External"/><Relationship Id="rId43" Type="http://schemas.openxmlformats.org/officeDocument/2006/relationships/hyperlink" Target="https://www.fintechfutures.com/venture-capital-funding/tapi-bags-27m-series-b-funding" TargetMode="External"/><Relationship Id="rId139" Type="http://schemas.openxmlformats.org/officeDocument/2006/relationships/hyperlink" Target="https://www.businesswire.com/news/home/20251002573681/en/Behavox-Expands-Google-Cloud-Partnership-with-%2442-Million-Investment-to-Deliver-AI-Solutions-in-Financial-Services" TargetMode="External"/><Relationship Id="rId290" Type="http://schemas.openxmlformats.org/officeDocument/2006/relationships/hyperlink" Target="https://fintech.global/2026/06/26/warp-raises-60m-series-b-to-rebuild-hr-software-with-ai/" TargetMode="External"/><Relationship Id="rId304" Type="http://schemas.openxmlformats.org/officeDocument/2006/relationships/hyperlink" Target="https://www.businesswire.com/news/home/20260630907172/en/Carbon-Announces-Signing-of-Significant-Growth-Equity-Investment-from-FTV-Capital" TargetMode="External"/><Relationship Id="rId85" Type="http://schemas.openxmlformats.org/officeDocument/2006/relationships/hyperlink" Target="https://www.fintechfutures.com/venture-capital-funding/upvest-finalises-125m-financing-for-european-pension-rollout" TargetMode="External"/><Relationship Id="rId150" Type="http://schemas.openxmlformats.org/officeDocument/2006/relationships/hyperlink" Target="https://www.dualentry.com/funding-announcement" TargetMode="External"/><Relationship Id="rId192" Type="http://schemas.openxmlformats.org/officeDocument/2006/relationships/hyperlink" Target="https://www.fintechfutures.com/venture-capital-funding/flex-raises-60m-series-b-funding" TargetMode="External"/><Relationship Id="rId206" Type="http://schemas.openxmlformats.org/officeDocument/2006/relationships/hyperlink" Target="https://fintech.global/2026/04/07/censys-bags-70m-to-expand-internet-intelligence-platform/" TargetMode="External"/><Relationship Id="rId248" Type="http://schemas.openxmlformats.org/officeDocument/2006/relationships/hyperlink" Target="https://cryptobriefing.com/catena-labs-30m-series-a-bank-charter/" TargetMode="External"/><Relationship Id="rId12" Type="http://schemas.openxmlformats.org/officeDocument/2006/relationships/hyperlink" Target="https://www.fintechfutures.com/venture-capital-funding/credit-key-lands-90m-in-growth-capital-and-partnership-with-barings" TargetMode="External"/><Relationship Id="rId108" Type="http://schemas.openxmlformats.org/officeDocument/2006/relationships/hyperlink" Target="https://fintech.global/2026/03/26/tazapay-closes-36m-series-b-to-scale-emerging-market-payments/" TargetMode="External"/><Relationship Id="rId54" Type="http://schemas.openxmlformats.org/officeDocument/2006/relationships/hyperlink" Target="https://www.tradeweb.com/newsroom/media-center/news-releases/tradeweb-makes-investment-in-maxex-to-expand-access-to-the-institutional-marketplace-for-u.s.-residential-mortgages?utm_source=linkedin&amp;utm_medium=social-org&amp;utm_campaign=2026_glob_corp&amp;utm_term=maxexinvestments-pr-021226" TargetMode="External"/><Relationship Id="rId96" Type="http://schemas.openxmlformats.org/officeDocument/2006/relationships/hyperlink" Target="https://fintech.global/2026/03/11/armadin-lands-189-9m-for-ai-driven-cyber-defence/" TargetMode="External"/><Relationship Id="rId161" Type="http://schemas.openxmlformats.org/officeDocument/2006/relationships/hyperlink" Target="https://www.prnewswire.com/news-releases/ascend-announces-strategic-partnership-with-quotewell-to-modernize-mga-accounting-and-payments-workflows-302273642.html" TargetMode="External"/><Relationship Id="rId217" Type="http://schemas.openxmlformats.org/officeDocument/2006/relationships/hyperlink" Target="https://www.prnewswire.com/news-releases/monk-raises-25m-series-a-to-automate-accounts-receivable-with-ai-302748872.html" TargetMode="External"/><Relationship Id="rId259" Type="http://schemas.openxmlformats.org/officeDocument/2006/relationships/hyperlink" Target="https://www.prnewswire.com/news-releases/daloopa-raises-47-million-series-c-to-power-the-data-layer-behind-ai-driven-finance-302784528.html" TargetMode="External"/><Relationship Id="rId23" Type="http://schemas.openxmlformats.org/officeDocument/2006/relationships/hyperlink" Target="https://fintech.global/2026/01/29/insurtech-firm-fulcrum-raises-25m-to-scale-broker-automation/" TargetMode="External"/><Relationship Id="rId119" Type="http://schemas.openxmlformats.org/officeDocument/2006/relationships/hyperlink" Target="https://fintech.global/2025/10/23/ai-tax-platform-anrok-bags-55m-in-series-c-funding/" TargetMode="External"/><Relationship Id="rId270" Type="http://schemas.openxmlformats.org/officeDocument/2006/relationships/hyperlink" Target="https://www.prnewswire.com/news-releases/edge-markets-raises-29-2-million-series-a-funding-round-302793671.html" TargetMode="External"/><Relationship Id="rId44" Type="http://schemas.openxmlformats.org/officeDocument/2006/relationships/hyperlink" Target="https://www.prnewswire.com/news-releases/kindred-announces-125m-in-funding-as-modern-home-swapping-breaks-into-the-travel-mainstream-302676973.html" TargetMode="External"/><Relationship Id="rId65" Type="http://schemas.openxmlformats.org/officeDocument/2006/relationships/hyperlink" Target="https://www.reuters.com/technology/savings-platform-vestwell-raises-385-million-2-billion-valuation-2026-02-18/" TargetMode="External"/><Relationship Id="rId86" Type="http://schemas.openxmlformats.org/officeDocument/2006/relationships/hyperlink" Target="https://www.fintechfutures.com/venture-capital-funding/fuse-secures-25m-in-series-a-funding" TargetMode="External"/><Relationship Id="rId130" Type="http://schemas.openxmlformats.org/officeDocument/2006/relationships/hyperlink" Target="https://startupsunion.com/bold-raises-40m/" TargetMode="External"/><Relationship Id="rId151" Type="http://schemas.openxmlformats.org/officeDocument/2006/relationships/hyperlink" Target="https://www.prnewswire.com/news-releases/trinity-capital-inc-provides-15-million-in-growth-capital-to-kard-accelerating-growth-of-its-commerce-media-network-302589452.html" TargetMode="External"/><Relationship Id="rId172" Type="http://schemas.openxmlformats.org/officeDocument/2006/relationships/hyperlink" Target="https://www.businesswire.com/news/home/20251112502186/en/Maybern-Secures-%2450-Million-in-Series-B-Funding-Led-by-Battery-Ventures-to-Build-a-New-Operating-System-for-Private-Capital" TargetMode="External"/><Relationship Id="rId193" Type="http://schemas.openxmlformats.org/officeDocument/2006/relationships/hyperlink" Target="https://www.thesaasnews.com/news/canary-secures-4-billion-in-series-c" TargetMode="External"/><Relationship Id="rId207" Type="http://schemas.openxmlformats.org/officeDocument/2006/relationships/hyperlink" Target="https://www.wealth.com/resources/press/wealth-com-raises-65-million-series-b-to-power-ai-future-of-wealth-management/" TargetMode="External"/><Relationship Id="rId228" Type="http://schemas.openxmlformats.org/officeDocument/2006/relationships/hyperlink" Target="https://finance.yahoo.com/markets/options/articles/kalshi-raises-1-billion-series-113439811.html" TargetMode="External"/><Relationship Id="rId249" Type="http://schemas.openxmlformats.org/officeDocument/2006/relationships/hyperlink" Target="https://www.finsmes.com/2026/05/kalshi-raises-200m-in-series-f-extension-funding.html" TargetMode="External"/><Relationship Id="rId13" Type="http://schemas.openxmlformats.org/officeDocument/2006/relationships/hyperlink" Target="https://www.coindesk.com/business/2026/01/22/tokenization-firm-superstate-raises-usd82-5-million-to-bring-wall-street-onchain" TargetMode="External"/><Relationship Id="rId109" Type="http://schemas.openxmlformats.org/officeDocument/2006/relationships/hyperlink" Target="https://www.reuters.com/business/fx-payments-startup-openfx-raises-94-million-amid-cross-border-stablecoin-push-2026-03-31/" TargetMode="External"/><Relationship Id="rId260" Type="http://schemas.openxmlformats.org/officeDocument/2006/relationships/hyperlink" Target="https://www.reuters.com/legal/litigation/insurance-platform-corgi-valued-26-billion-latest-funding-round-2026-05-28/" TargetMode="External"/><Relationship Id="rId281" Type="http://schemas.openxmlformats.org/officeDocument/2006/relationships/hyperlink" Target="https://www.apis.pe/news/apis-partners-invests-us-50-million-in-bipo-asia-pacific-s-leading-payroll-payment-processing-and-embedded-workforce-finance-platform/" TargetMode="External"/><Relationship Id="rId34" Type="http://schemas.openxmlformats.org/officeDocument/2006/relationships/hyperlink" Target="https://www.businesswire.com/news/home/20260203658155/en/Artificial-Labs-Raises-%2445M-Series-B-to-Accelerate-Global-Growth" TargetMode="External"/><Relationship Id="rId55" Type="http://schemas.openxmlformats.org/officeDocument/2006/relationships/hyperlink" Target="https://finance.yahoo.com/news/tether-launches-us-regulated-usat-161314419.html" TargetMode="External"/><Relationship Id="rId76" Type="http://schemas.openxmlformats.org/officeDocument/2006/relationships/hyperlink" Target="https://fintech.global/2026/02/26/rowspace-launches-with-50m-to-scale-ai-for-finance/" TargetMode="External"/><Relationship Id="rId97" Type="http://schemas.openxmlformats.org/officeDocument/2006/relationships/hyperlink" Target="https://fintech.global/2026/03/04/lee-equity-buys-kcic-to-strengthen-insurance-risk-solutions/" TargetMode="External"/><Relationship Id="rId120" Type="http://schemas.openxmlformats.org/officeDocument/2006/relationships/hyperlink" Target="https://fintech.global/2025/10/22/endowus-raises-70m-to-expand-asian-wealthtech-reach/" TargetMode="External"/><Relationship Id="rId141" Type="http://schemas.openxmlformats.org/officeDocument/2006/relationships/hyperlink" Target="https://www.prnewswire.com/news-releases/aviva-ventures-completes-strategic-investment-in-indico-data-to-accelerate-ai-driven-insurance-automation-302596146.html" TargetMode="External"/><Relationship Id="rId7" Type="http://schemas.openxmlformats.org/officeDocument/2006/relationships/hyperlink" Target="https://fintech.global/2026/01/15/osapiens-raises-100m-series-c-to-reach-unicorn-status/" TargetMode="External"/><Relationship Id="rId162" Type="http://schemas.openxmlformats.org/officeDocument/2006/relationships/hyperlink" Target="https://www.bing.com/search?q=pay.com.au+capital+raise&amp;cvid=5a921b9c86d34802abcdd5552e94910f&amp;gs_lcrp=EgRlZGdlKgYIABBFGDkyBggAEEUYOTIICAEQ6QcY_FXSAQgzNzk1ajBqOagCCLACAQ&amp;FORM=ANAB01&amp;PC=U531" TargetMode="External"/><Relationship Id="rId183" Type="http://schemas.openxmlformats.org/officeDocument/2006/relationships/hyperlink" Target="https://fintech.global/2025/12/10/parametrix-raises-27m-to-expand-parametric-digital-insurance/" TargetMode="External"/><Relationship Id="rId218" Type="http://schemas.openxmlformats.org/officeDocument/2006/relationships/hyperlink" Target="https://www.businesswire.com/news/home/20260420324252/en/Presidio-Investors-Expands-Portfolio-with-Strategic-Investment-in-Edge-Home-Finance" TargetMode="External"/><Relationship Id="rId239" Type="http://schemas.openxmlformats.org/officeDocument/2006/relationships/hyperlink" Target="https://www.businesswire.com/news/home/20260514070694/en/Stitch-Raises-%2425M-Series-A-Led-by-Andreessen-Horowitz" TargetMode="External"/><Relationship Id="rId250" Type="http://schemas.openxmlformats.org/officeDocument/2006/relationships/hyperlink" Target="https://www.prnewswire.com/news-releases/hashkey-capital-fund-announces-40m-strategic-investment-in-signalplus-302778025.html" TargetMode="External"/><Relationship Id="rId271" Type="http://schemas.openxmlformats.org/officeDocument/2006/relationships/hyperlink" Target="https://www.prnewswire.com/news-releases/digital-asset-raises-355-million-to-accelerate-cantons-role-as-onchain-infrastructure-for-capital-markets-302797427.html" TargetMode="External"/><Relationship Id="rId292" Type="http://schemas.openxmlformats.org/officeDocument/2006/relationships/hyperlink" Target="https://fortune.com/2026/06/23/allium-series-b-amplify-partners-crypto-analytics-startups/" TargetMode="External"/><Relationship Id="rId306" Type="http://schemas.openxmlformats.org/officeDocument/2006/relationships/hyperlink" Target="https://fintech.global/2026/07/02/taxwire-lands-25m-to-automate-global-sales-tax/" TargetMode="External"/><Relationship Id="rId24" Type="http://schemas.openxmlformats.org/officeDocument/2006/relationships/hyperlink" Target="https://rogo.ai/news/scaling-rogo-to-build-the-future-of-investment-banking-our-75m-series-c-and-european-expansion" TargetMode="External"/><Relationship Id="rId45" Type="http://schemas.openxmlformats.org/officeDocument/2006/relationships/hyperlink" Target="https://fintech.global/2026/02/13/uptiq-secures-25m-series-b-to-scale-financial-ai/" TargetMode="External"/><Relationship Id="rId66" Type="http://schemas.openxmlformats.org/officeDocument/2006/relationships/hyperlink" Target="https://fintech.global/2026/02/20/ascent-raises-45m-series-c-to-expand-student-lending/" TargetMode="External"/><Relationship Id="rId87" Type="http://schemas.openxmlformats.org/officeDocument/2006/relationships/hyperlink" Target="https://www.fintechfutures.com/venture-capital-funding/hsbc-invests-in-candex-series-c" TargetMode="External"/><Relationship Id="rId110" Type="http://schemas.openxmlformats.org/officeDocument/2006/relationships/hyperlink" Target="https://9fin.com/insights/9fin-raises-170m-to-lead-ai-transformation-of-debt-markets" TargetMode="External"/><Relationship Id="rId131" Type="http://schemas.openxmlformats.org/officeDocument/2006/relationships/hyperlink" Target="https://www.prnewswire.com/news-releases/feedzai-accelerates-ai-led-financial-crime-prevention-with-new-investment-round-that-grows-companys-valuation-to-2-billion-302573188.html" TargetMode="External"/><Relationship Id="rId152" Type="http://schemas.openxmlformats.org/officeDocument/2006/relationships/hyperlink" Target="https://www.businesswire.com/news/home/20251014028078/en/Telcoin-Raises-%2425-Million-to-Launch-Regulated-Digital-Asset-Bank" TargetMode="External"/><Relationship Id="rId173" Type="http://schemas.openxmlformats.org/officeDocument/2006/relationships/hyperlink" Target="https://ffnews.com/newsarticle/insurtech/federato-raises-100-million-series-d-led-by-growth-equity-at-goldman-sachs-alternatives/" TargetMode="External"/><Relationship Id="rId194" Type="http://schemas.openxmlformats.org/officeDocument/2006/relationships/hyperlink" Target="https://www.fintechfutures.com/venture-capital-funding/kraken-raises-800m-files-for-us-ipo" TargetMode="External"/><Relationship Id="rId208" Type="http://schemas.openxmlformats.org/officeDocument/2006/relationships/hyperlink" Target="https://www.prnewswire.com/news-releases/plata-reaches-5-billion-valuation-with-405-million-series-c-fundraise-302744958.html" TargetMode="External"/><Relationship Id="rId229" Type="http://schemas.openxmlformats.org/officeDocument/2006/relationships/hyperlink" Target="https://www.globenewswire.com/news-release/2026/04/27/3281699/0/en/Goldman-Sachs-Alternatives-Announces-Strategic-Investment-in-Kashable-Leading-the-Company-s-Series-C-Equity-Round.html" TargetMode="External"/><Relationship Id="rId240" Type="http://schemas.openxmlformats.org/officeDocument/2006/relationships/hyperlink" Target="https://www.fintechfutures.com/venture-capital-funding/embat-lands-30m-series-b-for-european-expansion" TargetMode="External"/><Relationship Id="rId261" Type="http://schemas.openxmlformats.org/officeDocument/2006/relationships/hyperlink" Target="https://www.businesswire.com/news/home/20260527047143/en/Pace-Raises-%2446-Million-Series-B-to-Build-the-Next-Century-of-Insurance" TargetMode="External"/><Relationship Id="rId14" Type="http://schemas.openxmlformats.org/officeDocument/2006/relationships/hyperlink" Target="https://finance.yahoo.com/news/accounting-software-platform-pennylane-raises-154715764.html?guce_referrer=aHR0cHM6Ly93d3cuZ29vZ2xlLmNvbS8&amp;guce_referrer_sig=AQAAAFXfZ1HzBTbJVi9qC9sTH2_6eSJ3l3u1txK0LHb0wUSGc2wwjOHvoozgTGSUBMle0AlQpekoK0Kkk17YIhozl2NRHD-Q79_P-mJebB-tf_zCP5F2v5VfAnKL3frCc5KUXCOWJIcj1rqwwc8Rpwy_Cq4RSZO-jhb2kh6XuDtNLmvL&amp;guccounter=2" TargetMode="External"/><Relationship Id="rId35" Type="http://schemas.openxmlformats.org/officeDocument/2006/relationships/hyperlink" Target="https://www.morningstar.com/news/pr-newswire/20260127ny71126/concourse-raises-12m-series-a-and-expands-access-to-its-enterprise-grade-ai-agents-for-finance" TargetMode="External"/><Relationship Id="rId56" Type="http://schemas.openxmlformats.org/officeDocument/2006/relationships/hyperlink" Target="https://www.prnewswire.com/news-releases/tomorrowio-announces-175m-financing-to-deploy-deepsky-the-worlds-first-ai-native-weather-satellite-constellation-302677432.html" TargetMode="External"/><Relationship Id="rId77" Type="http://schemas.openxmlformats.org/officeDocument/2006/relationships/hyperlink" Target="https://www.fintechfutures.com/venture-capital-funding/basis-raises-100m-series-b" TargetMode="External"/><Relationship Id="rId100" Type="http://schemas.openxmlformats.org/officeDocument/2006/relationships/hyperlink" Target="https://www.fintechfutures.com/venture-capital-funding/startale-raises-63m" TargetMode="External"/><Relationship Id="rId282" Type="http://schemas.openxmlformats.org/officeDocument/2006/relationships/hyperlink" Target="https://www.businesswire.com/news/home/20260617597265/en/Trace-Finance-Raises-$32M-Series-A-Led-by-CoinFund-to-Scale-Regulated-Banking-and-Stablecoin-Infrastructure-Across-Brazil-U.S.-and-Emerging-Markets" TargetMode="External"/><Relationship Id="rId8" Type="http://schemas.openxmlformats.org/officeDocument/2006/relationships/hyperlink" Target="https://fintech.global/2026/01/14/withcoverage-raises-42m-to-disrupt-insurance-broking/" TargetMode="External"/><Relationship Id="rId98" Type="http://schemas.openxmlformats.org/officeDocument/2006/relationships/hyperlink" Target="https://www.fintechfutures.com/venture-capital-funding/kast-lands-80m-series-a" TargetMode="External"/><Relationship Id="rId121" Type="http://schemas.openxmlformats.org/officeDocument/2006/relationships/hyperlink" Target="https://fintech.global/2025/10/22/gravwell-raises-15-4m-to-power-data-security-growth/" TargetMode="External"/><Relationship Id="rId142" Type="http://schemas.openxmlformats.org/officeDocument/2006/relationships/hyperlink" Target="https://techcrunch.com/2025/10/15/liberate-bags-50m-at-300m-valuation-to-bring-ai-deeper-into-insurance-back-offices/" TargetMode="External"/><Relationship Id="rId163" Type="http://schemas.openxmlformats.org/officeDocument/2006/relationships/hyperlink" Target="https://fintechmagazine.com/news/how-is-us-35m-of-chargeflow-funding-automating-chargebacks" TargetMode="External"/><Relationship Id="rId184" Type="http://schemas.openxmlformats.org/officeDocument/2006/relationships/hyperlink" Target="https://fintech.global/2025/12/09/realvantage-raises-10m-as-series-a-round-is-oversubscribed/" TargetMode="External"/><Relationship Id="rId219" Type="http://schemas.openxmlformats.org/officeDocument/2006/relationships/hyperlink" Target="https://www.globenewswire.com/news-release/2026/04/27/3281699/0/en/Goldman-Sachs-Alternatives-Announces-Strategic-Investment-in-Kashable-Leading-the-Company-s-Series-C-Equity-Round.html" TargetMode="External"/><Relationship Id="rId230" Type="http://schemas.openxmlformats.org/officeDocument/2006/relationships/hyperlink" Target="https://fintech.global/2026/05/06/coinbase-invests-in-centrifuge-to-boost-tokenization/" TargetMode="External"/><Relationship Id="rId251" Type="http://schemas.openxmlformats.org/officeDocument/2006/relationships/hyperlink" Target="https://www.pivotapp.ai/blog/pivot-raises-40-million-series-b-to-replace-legacy-procurement-software-with-an-enterprise-ai-operating-system" TargetMode="External"/><Relationship Id="rId25" Type="http://schemas.openxmlformats.org/officeDocument/2006/relationships/hyperlink" Target="https://fintech.global/2026/01/28/mesh-raises-75m-at-1bn-valuation-to-unify-digital-asset-payments/" TargetMode="External"/><Relationship Id="rId46" Type="http://schemas.openxmlformats.org/officeDocument/2006/relationships/hyperlink" Target="https://www.fintechfutures.com/venture-capital-funding/bound-lands-24-5m-series-a" TargetMode="External"/><Relationship Id="rId67" Type="http://schemas.openxmlformats.org/officeDocument/2006/relationships/hyperlink" Target="https://www.ua.la/prensa/uala-closes-$300m-in-series-e-funding-led-by-allianz-x" TargetMode="External"/><Relationship Id="rId272" Type="http://schemas.openxmlformats.org/officeDocument/2006/relationships/hyperlink" Target="https://www.ninjaone.com/press/12-3-billion-valuation/" TargetMode="External"/><Relationship Id="rId293" Type="http://schemas.openxmlformats.org/officeDocument/2006/relationships/hyperlink" Target="https://fintech.global/2026/06/26/alan-raises-e480m-to-expand-prevention-insurance-globally/" TargetMode="External"/><Relationship Id="rId307" Type="http://schemas.openxmlformats.org/officeDocument/2006/relationships/hyperlink" Target="https://www.straiker.ai/blog/straiker-raises-64m-series-a-to-secure-the-agentic-workforce" TargetMode="External"/><Relationship Id="rId88" Type="http://schemas.openxmlformats.org/officeDocument/2006/relationships/hyperlink" Target="https://fintech.global/2026/03/20/cloaked-bags-375m-to-make-data-privacy-the-default/" TargetMode="External"/><Relationship Id="rId111" Type="http://schemas.openxmlformats.org/officeDocument/2006/relationships/hyperlink" Target="https://www.businesswire.com/news/home/20251006771358/en/Coinflow-Closes-%2425M-Series-A-Led-by-Pantera-Capital-To-Power-Billions-in-Global-Payment-Volume" TargetMode="External"/><Relationship Id="rId132" Type="http://schemas.openxmlformats.org/officeDocument/2006/relationships/hyperlink" Target="https://www.bing.com/search?q=r2+and+ant+internaitonal&amp;cvid=8128c64ff63a414eb52395c351d98736&amp;gs_lcrp=EgRlZGdlKgYIABBFGDkyBggAEEUYOTIGCAEQABhAMggIAhDpBxj8VdIBCDMxNThqMGo5qAIIsAIB&amp;FORM=ANAB01&amp;PC=U531" TargetMode="External"/><Relationship Id="rId153" Type="http://schemas.openxmlformats.org/officeDocument/2006/relationships/hyperlink" Target="https://www.globenewswire.com/news-release/2025/10/09/3164297/0/en/Routefusion-Secures-26-5-Million-Series-A-to-Expand-its-Global-Payments-Network.html" TargetMode="External"/><Relationship Id="rId174" Type="http://schemas.openxmlformats.org/officeDocument/2006/relationships/hyperlink" Target="https://www.prnewswire.com/news-releases/anzen-raises-16-million-series-a-to-scale-ai-platform-for-insurance-distribution-302614668.html" TargetMode="External"/><Relationship Id="rId195" Type="http://schemas.openxmlformats.org/officeDocument/2006/relationships/hyperlink" Target="https://www.fintechfutures.com/venture-capital-funding/uk-proptech-keyzy-scales-rent-to-own-model-with-130m-funding" TargetMode="External"/><Relationship Id="rId209" Type="http://schemas.openxmlformats.org/officeDocument/2006/relationships/hyperlink" Target="https://k1x.io/k1x-secures-175-million-growth-investment-to-scale-digital-infrastructure-for-private-market-tax-compliance/" TargetMode="External"/><Relationship Id="rId220" Type="http://schemas.openxmlformats.org/officeDocument/2006/relationships/hyperlink" Target="https://www.prnewswire.com/news-releases/versana-closes-43-million-capital-raise-led-by-bnp-paribas-with-fitch-ventures-massmutual-ventures-motive-partners-and-apollo-joining-as-investors-302758712.html" TargetMode="External"/><Relationship Id="rId241" Type="http://schemas.openxmlformats.org/officeDocument/2006/relationships/hyperlink" Target="https://fintech.global/2026/05/12/frame-security-raises-50m-to-tackle-human-cyber-risk/" TargetMode="External"/><Relationship Id="rId15" Type="http://schemas.openxmlformats.org/officeDocument/2006/relationships/hyperlink" Target="https://www.fintechfutures.com/venture-capital-funding/datarails-lands-70m-series-c-raise" TargetMode="External"/><Relationship Id="rId36" Type="http://schemas.openxmlformats.org/officeDocument/2006/relationships/hyperlink" Target="https://fintech.global/2026/02/05/blockchain-intelligence-firm-trm-labs-bags-70m-series-c/" TargetMode="External"/><Relationship Id="rId57" Type="http://schemas.openxmlformats.org/officeDocument/2006/relationships/hyperlink" Target="https://www.mews.com/en/press/mews-secures-300-million-investment" TargetMode="External"/><Relationship Id="rId262" Type="http://schemas.openxmlformats.org/officeDocument/2006/relationships/hyperlink" Target="https://fintech.global/2026/05/25/scapia-raises-63m-in-general-catalyst-led-round/" TargetMode="External"/><Relationship Id="rId283" Type="http://schemas.openxmlformats.org/officeDocument/2006/relationships/hyperlink" Target="https://www.argaam.com/en/article/articledetail/id/1912421" TargetMode="External"/><Relationship Id="rId78" Type="http://schemas.openxmlformats.org/officeDocument/2006/relationships/hyperlink" Target="https://www.fintechfutures.com/venture-capital-funding/plaid-reportedly-hits-8bn-valuation-after-latest-funding-round" TargetMode="External"/><Relationship Id="rId99" Type="http://schemas.openxmlformats.org/officeDocument/2006/relationships/hyperlink" Target="https://www.fintechfutures.com/venture-capital-funding/us-fintech-worth-bags-30m-in-series-a-funding" TargetMode="External"/><Relationship Id="rId101" Type="http://schemas.openxmlformats.org/officeDocument/2006/relationships/hyperlink" Target="https://fintech.global/2026/03/26/adonis-bags-40m-to-transform-ai-revenue-cycle-management/" TargetMode="External"/><Relationship Id="rId122" Type="http://schemas.openxmlformats.org/officeDocument/2006/relationships/hyperlink" Target="https://fintech.global/2025/10/22/streetbeat-raises-15m-to-scale-ai-for-wealth-managers/" TargetMode="External"/><Relationship Id="rId143" Type="http://schemas.openxmlformats.org/officeDocument/2006/relationships/hyperlink" Target="https://www.xceedance.com/xceedance-secures-growth-investment-from-portage-capital-solutions/" TargetMode="External"/><Relationship Id="rId164" Type="http://schemas.openxmlformats.org/officeDocument/2006/relationships/hyperlink" Target="https://www.fintechfutures.com/venture-capital-funding/flatpay-becomes-denmark-s-fastest-unicorn-following-170m-funding-round" TargetMode="External"/><Relationship Id="rId185" Type="http://schemas.openxmlformats.org/officeDocument/2006/relationships/hyperlink" Target="https://fintech.global/2025/12/08/airwallex-lands-330m-to-boost-ai-finance-platform/" TargetMode="External"/><Relationship Id="rId9" Type="http://schemas.openxmlformats.org/officeDocument/2006/relationships/hyperlink" Target="https://fintech.global/2026/01/13/ai-driven-insurtech-corgi-lands-108m-funding-round/" TargetMode="External"/><Relationship Id="rId210" Type="http://schemas.openxmlformats.org/officeDocument/2006/relationships/hyperlink" Target="https://www.fintechfutures.com/venture-capital-funding/new-unicorn-slash-raises-100m-series-c-debuts-twin-ai-agent" TargetMode="External"/><Relationship Id="rId26" Type="http://schemas.openxmlformats.org/officeDocument/2006/relationships/hyperlink" Target="https://www.permira.com/news-and-insights/announcements/carne-group-announces-strategic-investment-from-permira-at-14bn-valuation" TargetMode="External"/><Relationship Id="rId231" Type="http://schemas.openxmlformats.org/officeDocument/2006/relationships/hyperlink" Target="https://www.businesswire.com/news/home/20260506853624/en/Tessera-Labs-Raises-%2460M-in-Funding-Led-by-Andreessen-Horowitz-to-Transform-ERP-Modernization" TargetMode="External"/><Relationship Id="rId252" Type="http://schemas.openxmlformats.org/officeDocument/2006/relationships/hyperlink" Target="https://www.prnewswire.com/news-releases/relay-secures-50-million-in-financing-to-build-the-small-business-financial-command-center-302773877.html" TargetMode="External"/><Relationship Id="rId273" Type="http://schemas.openxmlformats.org/officeDocument/2006/relationships/hyperlink" Target="https://www.prnewswire.com/news-releases/poetic-raises-50m-series-a-to-automate-the-worlds-most-complex-enterprise-processes-with-reliable-ai-302796939.html" TargetMode="External"/><Relationship Id="rId294" Type="http://schemas.openxmlformats.org/officeDocument/2006/relationships/hyperlink" Target="https://www.businesswire.com/news/home/20260622947239/en/" TargetMode="External"/><Relationship Id="rId308" Type="http://schemas.openxmlformats.org/officeDocument/2006/relationships/printerSettings" Target="../printerSettings/printerSettings2.bin"/><Relationship Id="rId47" Type="http://schemas.openxmlformats.org/officeDocument/2006/relationships/hyperlink" Target="https://www.prnewswire.com/news-releases/circit-secures-22-million-growth-equity-funding-to-build-the-independent-verification-layer-powering-the-future-of-audit-302684176.html" TargetMode="External"/><Relationship Id="rId68" Type="http://schemas.openxmlformats.org/officeDocument/2006/relationships/hyperlink" Target="https://fintech.global/2026/02/20/stacks-raises-23m-series-a-to-scale-agentic-ai/" TargetMode="External"/><Relationship Id="rId89" Type="http://schemas.openxmlformats.org/officeDocument/2006/relationships/hyperlink" Target="https://fintech.global/2026/03/18/brazilian-insurtech-azos-secures-25m-series-c/" TargetMode="External"/><Relationship Id="rId112" Type="http://schemas.openxmlformats.org/officeDocument/2006/relationships/hyperlink" Target="https://www.prnewswire.com/news-releases/savvymoney-raises-225m-to-accelerate-innovation-for-financial-institutions-302595538.html" TargetMode="External"/><Relationship Id="rId133" Type="http://schemas.openxmlformats.org/officeDocument/2006/relationships/hyperlink" Target="https://www.bing.com/search?q=pave+bank+capital+raise&amp;cvid=3b58a52c037f4fe5ae722142f4e82ffb&amp;gs_lcrp=EgRlZGdlKgYIABBFGDkyBggAEEUYOTIICAEQ6QcY_FXSAQgyNDg4ajBqOagCCLACAQ&amp;FORM=ANAB01&amp;PC=U531" TargetMode="External"/><Relationship Id="rId154" Type="http://schemas.openxmlformats.org/officeDocument/2006/relationships/hyperlink" Target="https://refreshmiami.com/news/remitee-raises-20m-to-reshape-the-remittance-experience-from-within/" TargetMode="External"/><Relationship Id="rId175" Type="http://schemas.openxmlformats.org/officeDocument/2006/relationships/hyperlink" Target="https://www.prnewswire.com/news-releases/numeric-raises-51m-series-b-expanding-from-close-management-to-comprehensive-finance-platform-302619774.html" TargetMode="External"/><Relationship Id="rId196" Type="http://schemas.openxmlformats.org/officeDocument/2006/relationships/hyperlink" Target="https://www.businesswire.com/news/home/20251119561031/en/LoneTree-Capital-Invests-in-Carson-Living-Leading-Provider-of-Integrated-Tech-for-Multifamily-Properties" TargetMode="External"/><Relationship Id="rId200" Type="http://schemas.openxmlformats.org/officeDocument/2006/relationships/hyperlink" Target="https://ventureburn.com/kreditbee-raises-280m-hits-1-5b-valuation-ahead-of-ipo/" TargetMode="External"/><Relationship Id="rId16" Type="http://schemas.openxmlformats.org/officeDocument/2006/relationships/hyperlink" Target="https://fintech.global/2026/01/23/juspay-raises-50m-from-westbridge-capital-in-series-d-follow-on/" TargetMode="External"/><Relationship Id="rId221" Type="http://schemas.openxmlformats.org/officeDocument/2006/relationships/hyperlink" Target="https://fintech.global/2026/04/30/sahi-raises-33m-series-b-at-200m-valuation/?_gl=1*17zi9r*_up*MQ..*_gs*MQ..&amp;gclid=Cj0KCQjwh-HPBhCIARIsAC0p3ceucXiErPpRV-5etwjFxkccwtK3WhJXwFT0TKk2AEtkTpehqOOVWjEaAuG9EALw_wcB" TargetMode="External"/><Relationship Id="rId242" Type="http://schemas.openxmlformats.org/officeDocument/2006/relationships/hyperlink" Target="https://www.paymentology.com/newsroom/paymentology-raises-175-million-co-led-by-apis-partners-and-aspirity-partners-to-support-next-phase-of-growth" TargetMode="External"/><Relationship Id="rId263" Type="http://schemas.openxmlformats.org/officeDocument/2006/relationships/hyperlink" Target="https://www.fonoa.com/resources/blog/fonoa-raises-funding-and-acquires-indirect-tax-edge" TargetMode="External"/><Relationship Id="rId284" Type="http://schemas.openxmlformats.org/officeDocument/2006/relationships/hyperlink" Target="https://www.finextra.com/newsarticle/47959/danish-startup-festina-raises-25m-for-pensions-platform" TargetMode="External"/><Relationship Id="rId37" Type="http://schemas.openxmlformats.org/officeDocument/2006/relationships/hyperlink" Target="https://fintech.global/2026/02/04/neo-financial-secures-68-5m-equity-to-scale-lending-model/" TargetMode="External"/><Relationship Id="rId58" Type="http://schemas.openxmlformats.org/officeDocument/2006/relationships/hyperlink" Target="https://techcrunch.com/2026/01/07/shopify-competitor-swap-raises-100m-six-months-after-raising-40m/" TargetMode="External"/><Relationship Id="rId79" Type="http://schemas.openxmlformats.org/officeDocument/2006/relationships/hyperlink" Target="https://fintech.global/2026/02/26/harper-raises-47m-to-modernise-business-insurance-with-ai/" TargetMode="External"/><Relationship Id="rId102" Type="http://schemas.openxmlformats.org/officeDocument/2006/relationships/hyperlink" Target="https://techcrunch.com/2026/03/25/a16z-backed-glimpse-raises-new-funds-accelerates-dispute-tracking-automation-for-cpg-brands/" TargetMode="External"/><Relationship Id="rId123" Type="http://schemas.openxmlformats.org/officeDocument/2006/relationships/hyperlink" Target="https://fintech.global/2025/10/21/moniepoint-bags-200m-series-c-to-expand-financial-inclusion/" TargetMode="External"/><Relationship Id="rId144" Type="http://schemas.openxmlformats.org/officeDocument/2006/relationships/hyperlink" Target="https://www.prnewswire.com/news-releases/investors-back-irys-insurtech-with-12-5-million-to-reinvent-insurance-software-302581215.html" TargetMode="External"/><Relationship Id="rId90" Type="http://schemas.openxmlformats.org/officeDocument/2006/relationships/hyperlink" Target="https://www.fintechfutures.com/venture-capital-funding/metacomp-raises-35m" TargetMode="External"/><Relationship Id="rId165" Type="http://schemas.openxmlformats.org/officeDocument/2006/relationships/hyperlink" Target="https://www.forbes.com/sites/sindhyavalloppillil/2025/11/13/sundays-21m-series-b-and-the-global-race-to-transform-restaurant-payments/" TargetMode="External"/><Relationship Id="rId186" Type="http://schemas.openxmlformats.org/officeDocument/2006/relationships/hyperlink" Target="https://emh.com/news/digitec-welcomes-strategic-minority-investment-from-emh-partners-to-accelerate-global-growth-in-fx-swaps-pricing-and-workflow-automation-software/" TargetMode="External"/><Relationship Id="rId211" Type="http://schemas.openxmlformats.org/officeDocument/2006/relationships/hyperlink" Target="https://www.fintechfutures.com/blockchain-crypto-digital-assets/deutsche-borse-acquires-stake-in-kraken-for-200m" TargetMode="External"/><Relationship Id="rId232" Type="http://schemas.openxmlformats.org/officeDocument/2006/relationships/hyperlink" Target="https://fintech.global/2026/05/07/xbow-secures-35m-as-customers-turn-investors/" TargetMode="External"/><Relationship Id="rId253" Type="http://schemas.openxmlformats.org/officeDocument/2006/relationships/hyperlink" Target="https://fintech.global/2026/05/21/sardine-lands-25m-as-national-bank-of-canada-deepens-bet/" TargetMode="External"/><Relationship Id="rId274" Type="http://schemas.openxmlformats.org/officeDocument/2006/relationships/hyperlink" Target="https://ffnews.com/newsarticle/funding/blnk-raises-37m-to-deepen-point-of-sale-credit-for-consumers-in-egypt/" TargetMode="External"/><Relationship Id="rId295" Type="http://schemas.openxmlformats.org/officeDocument/2006/relationships/hyperlink" Target="https://www.cnbc.com/2026/06/26/airwallex-series-h-funding-11-billion-valuation-ai-finance.html" TargetMode="External"/><Relationship Id="rId309" Type="http://schemas.openxmlformats.org/officeDocument/2006/relationships/customProperty" Target="../customProperty2.bin"/><Relationship Id="rId27" Type="http://schemas.openxmlformats.org/officeDocument/2006/relationships/hyperlink" Target="https://www.fintechfutures.com/venture-capital-funding/zocks-secures-45m-series-b" TargetMode="External"/><Relationship Id="rId48" Type="http://schemas.openxmlformats.org/officeDocument/2006/relationships/hyperlink" Target="https://www.fintechfutures.com/venture-capital-funding/greenlite-ai-rebrands-as-bretton-ai-secures-75m-series-b" TargetMode="External"/><Relationship Id="rId69" Type="http://schemas.openxmlformats.org/officeDocument/2006/relationships/hyperlink" Target="https://www.fintechfutures.com/venture-capital-funding/indian-regtech-idfy-bags-52m-in-series-f-round" TargetMode="External"/><Relationship Id="rId113" Type="http://schemas.openxmlformats.org/officeDocument/2006/relationships/hyperlink" Target="https://www.coindesk.com/markets/2025/11/05/ripple-raises-usd500m-at-usd40b-valuation-in-fortress-led-round?ref=thisweekinfintech.com" TargetMode="External"/><Relationship Id="rId134" Type="http://schemas.openxmlformats.org/officeDocument/2006/relationships/hyperlink" Target="https://www.reuters.com/business/apollo-global-weighs-sale-atlas-air-12-billion-bloomberg-news-reports-2025-12-16/" TargetMode="External"/><Relationship Id="rId80" Type="http://schemas.openxmlformats.org/officeDocument/2006/relationships/hyperlink" Target="https://crossovermarkets.com/crossover-markets-secures-31-million-series-b-funding-at-200-million-valuation-led-by-tradeweb/" TargetMode="External"/><Relationship Id="rId155" Type="http://schemas.openxmlformats.org/officeDocument/2006/relationships/hyperlink" Target="https://www.bing.com/search?q=fundpark%20capital%20raise%2071m&amp;qs=n&amp;form=QBRE&amp;sp=-1&amp;ghc=1&amp;lq=0&amp;pq=fundpark%20capital%20raise%2071m&amp;sc=12-26&amp;sk=&amp;cvid=0A7D8C3D853A4F14967ECDB9D09EDE4E" TargetMode="External"/><Relationship Id="rId176" Type="http://schemas.openxmlformats.org/officeDocument/2006/relationships/hyperlink" Target="https://www.bing.com/search?q=tmt+id+capital+raise&amp;cvid=27450572a8984be59b4182bdb9429922&amp;gs_lcrp=EgRlZGdlKgYIABBFGDkyBggAEEUYOTIICAEQ6QcY_FXSAQgzNDg2ajBqOagCCLACAQ&amp;FORM=ANAB01&amp;PC=U531" TargetMode="External"/><Relationship Id="rId197" Type="http://schemas.openxmlformats.org/officeDocument/2006/relationships/hyperlink" Target="https://www.calcalistech.com/ctechnews/article/hjlv00mqewx" TargetMode="External"/><Relationship Id="rId201" Type="http://schemas.openxmlformats.org/officeDocument/2006/relationships/hyperlink" Target="https://www.apax.com/news-views/apax-digital-funds-invest-60-million-in-milltech-to-fuel-north-american-expansion/" TargetMode="External"/><Relationship Id="rId222" Type="http://schemas.openxmlformats.org/officeDocument/2006/relationships/hyperlink" Target="https://www.fintechfutures.com/venture-capital-funding/rogo-raises-160m-series-d" TargetMode="External"/><Relationship Id="rId243" Type="http://schemas.openxmlformats.org/officeDocument/2006/relationships/hyperlink" Target="https://www.fintechfutures.com/venture-capital-funding/farther-lands-150m-series-d" TargetMode="External"/><Relationship Id="rId264" Type="http://schemas.openxmlformats.org/officeDocument/2006/relationships/hyperlink" Target="https://fintech.global/2026/06/05/honeycomb-insurance-raises-40m-in-zeev-ventures-led-round/" TargetMode="External"/><Relationship Id="rId285" Type="http://schemas.openxmlformats.org/officeDocument/2006/relationships/hyperlink" Target="https://www.businesswire.com/news/home/20260611628926/en/Hypha-Emerges-From-Stealth-Announces-a-$50M-Seed-Round" TargetMode="External"/><Relationship Id="rId17" Type="http://schemas.openxmlformats.org/officeDocument/2006/relationships/hyperlink" Target="https://www.fintechfutures.com/venture-capital-funding/latam-fintech-pomelo-secures-55m-series-c" TargetMode="External"/><Relationship Id="rId38" Type="http://schemas.openxmlformats.org/officeDocument/2006/relationships/hyperlink" Target="https://fintech.global/2026/02/04/insurtech-indigo-raises-50m-in-series-b-funding-round/" TargetMode="External"/><Relationship Id="rId59" Type="http://schemas.openxmlformats.org/officeDocument/2006/relationships/hyperlink" Target="https://bluefivecapital.com/newsroom/mal-raises-230-million-to-launch-the-worlds-first-ai-native-islamic-digital-bank/" TargetMode="External"/><Relationship Id="rId103" Type="http://schemas.openxmlformats.org/officeDocument/2006/relationships/hyperlink" Target="https://techcrunch.com/2026/03/24/doss-raises-55m-for-ai-inventory-management-that-plugs-into-erp/" TargetMode="External"/><Relationship Id="rId124" Type="http://schemas.openxmlformats.org/officeDocument/2006/relationships/hyperlink" Target="https://fintech.global/2025/10/21/instanda-bags-20m-from-commerzventures/" TargetMode="External"/><Relationship Id="rId70" Type="http://schemas.openxmlformats.org/officeDocument/2006/relationships/hyperlink" Target="https://fintech.global/2026/02/18/vulncheck-lands-25m-to-expand-threat-intelligence/" TargetMode="External"/><Relationship Id="rId91" Type="http://schemas.openxmlformats.org/officeDocument/2006/relationships/hyperlink" Target="https://www.fintechfutures.com/venture-capital-funding/uzum-raises-over-130m-led-by-oman-sovereign-funds" TargetMode="External"/><Relationship Id="rId145" Type="http://schemas.openxmlformats.org/officeDocument/2006/relationships/hyperlink" Target="https://www.prnewswire.com/news-releases/pioneering-crypto-life-insurer-anthea-raises-us22-million-in-series-a-funding-302578304.html" TargetMode="External"/><Relationship Id="rId166" Type="http://schemas.openxmlformats.org/officeDocument/2006/relationships/hyperlink" Target="https://www.businesswire.com/news/home/20251113490603/en/Zilch-Raises-Over-%24175-Million-to-Accelerate-Growth" TargetMode="External"/><Relationship Id="rId187" Type="http://schemas.openxmlformats.org/officeDocument/2006/relationships/hyperlink" Target="https://www.coremont.com/news-insights/coremont-blue-owl-annoucement/?utm_campaign=LinkedIn%20inbound&amp;utm_content=359747246&amp;utm_medium=social&amp;utm_source=linkedin&amp;hss_channel=lcp-35570842" TargetMode="External"/><Relationship Id="rId1" Type="http://schemas.openxmlformats.org/officeDocument/2006/relationships/hyperlink" Target="https://www.fintechfutures.com/venture-capital-funding/architect-financial-technologies-lands-35m-for-new-ax-exchange" TargetMode="External"/><Relationship Id="rId212" Type="http://schemas.openxmlformats.org/officeDocument/2006/relationships/hyperlink" Target="https://www.zego.com/blog/sompo-partners-with-zego/" TargetMode="External"/><Relationship Id="rId233" Type="http://schemas.openxmlformats.org/officeDocument/2006/relationships/hyperlink" Target="https://fintech.global/2026/05/08/corgi-secures-unicorn-status-after-160m-series-b/" TargetMode="External"/><Relationship Id="rId254" Type="http://schemas.openxmlformats.org/officeDocument/2006/relationships/hyperlink" Target="https://www.businesswire.com/news/home/20260519989278/en/Primer-Raises-%24100M-Series-C-to-Bring-AI-to-Every-Payment-and-Accelerate-US-Expansion" TargetMode="External"/><Relationship Id="rId28" Type="http://schemas.openxmlformats.org/officeDocument/2006/relationships/hyperlink" Target="https://www.insightpartners.com/ideas/slice-global-equity-raises-25m-series-a-led-by-insight-partners-to-advance-ai-native-compliance-first-infrastructure-for-global-equity/" TargetMode="External"/><Relationship Id="rId49" Type="http://schemas.openxmlformats.org/officeDocument/2006/relationships/hyperlink" Target="https://fintech.global/2026/02/12/lassie-raises-75m-in-series-c-to-expand-across-europe/" TargetMode="External"/><Relationship Id="rId114" Type="http://schemas.openxmlformats.org/officeDocument/2006/relationships/hyperlink" Target="https://fintech.global/2025/11/04/fintech-platform-lettuce-raises-28m-to-empower-solo-workers/" TargetMode="External"/><Relationship Id="rId275" Type="http://schemas.openxmlformats.org/officeDocument/2006/relationships/hyperlink" Target="https://www.globenewswire.com/news-release/2026/06/10/3309762/0/en/nesto-raises-302-million-Series-E-at-1-47-billion-valuation-to-accelerate-growth.html" TargetMode="External"/><Relationship Id="rId296" Type="http://schemas.openxmlformats.org/officeDocument/2006/relationships/hyperlink" Target="https://www.squareyards.com/blog/square-yards-becomes-unicorn-after-rs-900-crore-fundraise-plans-ipo" TargetMode="External"/><Relationship Id="rId300" Type="http://schemas.openxmlformats.org/officeDocument/2006/relationships/hyperlink" Target="https://latamlist.com/jota-raises-30m-series-a-at-185m-valuation/" TargetMode="External"/><Relationship Id="rId60" Type="http://schemas.openxmlformats.org/officeDocument/2006/relationships/hyperlink" Target="https://www.morningstar.com/news/business-wire/20260127456094/gyde-launches-with-60m-financing-led-by-lightspeed" TargetMode="External"/><Relationship Id="rId81" Type="http://schemas.openxmlformats.org/officeDocument/2006/relationships/hyperlink" Target="https://www.businesswire.com/news/home/20260305028054/en/Evervault-Raises-%2425M-in-Series-B-Financing-to-Deliver-End-to-End-Encryption-for-Highly-Sensitive-Data" TargetMode="External"/><Relationship Id="rId135" Type="http://schemas.openxmlformats.org/officeDocument/2006/relationships/hyperlink" Target="https://www.upgrade.com/press/upgrade-raises-165-million-equity-investment/" TargetMode="External"/><Relationship Id="rId156" Type="http://schemas.openxmlformats.org/officeDocument/2006/relationships/hyperlink" Target="https://www.bing.com/search?q=optimo%20capital%20capital%20raise&amp;qs=n&amp;form=QBRE&amp;sp=-1&amp;ghc=1&amp;lq=0&amp;pq=optimo%20capital%20capital%20rais&amp;sc=12-27&amp;sk=&amp;cvid=F03CA1D6C0E34D34B9DCDD20343F2D01" TargetMode="External"/><Relationship Id="rId177" Type="http://schemas.openxmlformats.org/officeDocument/2006/relationships/hyperlink" Target="https://www.bing.com/search?q=maxima+capital+raise&amp;cvid=b8d1da8e779d42dc877c55af3838ea51&amp;gs_lcrp=EgRlZGdlKgYIABBFGDkyBggAEEUYOTIGCAEQABhAMgYIAhAAGEAyBggDEAAYQDIGCAQQABhAMgYIBRAAGEAyBggGEAAYQDIGCAcQABhAMgYICBAAGEAyCAgJEOkHGPxV0gEIMjE2MWowajmoAgiwAgE&amp;FORM=ANAB01&amp;PC=U531" TargetMode="External"/><Relationship Id="rId198" Type="http://schemas.openxmlformats.org/officeDocument/2006/relationships/hyperlink" Target="https://www.msn.com/en-us/technology/cryptocurrencies/exclusive-stripe-backed-blockchain-startup-tempo-raises-500-million-round-led-by-joshua-kushner-s-thrive-capital-and-greenoaks/ar-AA1OGbpr?ocid=BingNewsSerp" TargetMode="External"/><Relationship Id="rId202" Type="http://schemas.openxmlformats.org/officeDocument/2006/relationships/hyperlink" Target="https://www.globenewswire.com/news-release/2026/04/07/3269423/0/en/True-Footage-Raises-40-Million-Series-C-to-Scale-Full-Stack-Residential-Valuation-Platform.html" TargetMode="External"/><Relationship Id="rId223" Type="http://schemas.openxmlformats.org/officeDocument/2006/relationships/hyperlink" Target="https://fintech.global/2026/04/30/zamp-raises-30m-to-build-sales-tax-os-for-accountants/?_gl=1*17zi9r*_up*MQ..*_gs*MQ..&amp;gclid=Cj0KCQjwh-HPBhCIARIsAC0p3ceucXiErPpRV-5etwjFxkccwtK3WhJXwFT0TKk2AEtkTpehqOOVWjEaAuG9EALw_wcB" TargetMode="External"/><Relationship Id="rId244" Type="http://schemas.openxmlformats.org/officeDocument/2006/relationships/hyperlink" Target="https://www.fintechfutures.com/venture-capital-funding/equipifi-34m-series-b" TargetMode="External"/><Relationship Id="rId18" Type="http://schemas.openxmlformats.org/officeDocument/2006/relationships/hyperlink" Target="https://www.cubbystorage.com/blog/cubby-announces-63-million-series-a" TargetMode="External"/><Relationship Id="rId39" Type="http://schemas.openxmlformats.org/officeDocument/2006/relationships/hyperlink" Target="https://www.fintechfutures.com/venture-capital-funding/parafi-invests-35m-in-solana-defi-platform-jupiter" TargetMode="External"/><Relationship Id="rId265" Type="http://schemas.openxmlformats.org/officeDocument/2006/relationships/hyperlink" Target="https://www.globenewswire.com/news-release/2026/06/03/3305968/0/en/alphasense-raises-350m-at-7-5b-valuation-and-surpasses-600m-in-annual-recurring-revenue.html" TargetMode="External"/><Relationship Id="rId286" Type="http://schemas.openxmlformats.org/officeDocument/2006/relationships/hyperlink" Target="https://www.pymnts.com/cryptocurrency/2026/fomo-raises-75-million-for-consumer-crypto-trading-app/" TargetMode="External"/><Relationship Id="rId50" Type="http://schemas.openxmlformats.org/officeDocument/2006/relationships/hyperlink" Target="https://fintech.global/2026/02/11/insurtech-firm-managemy-secures-45m-to-drive-global-growth/" TargetMode="External"/><Relationship Id="rId104" Type="http://schemas.openxmlformats.org/officeDocument/2006/relationships/hyperlink" Target="https://fintech.global/2026/03/25/spade-raises-40m-series-b-to-power-ai-driven-finance/" TargetMode="External"/><Relationship Id="rId125" Type="http://schemas.openxmlformats.org/officeDocument/2006/relationships/hyperlink" Target="https://fintech.global/2025/10/20/mgt-raises-21-6m-to-modernise-small-business-insurance/" TargetMode="External"/><Relationship Id="rId146" Type="http://schemas.openxmlformats.org/officeDocument/2006/relationships/hyperlink" Target="https://www.prnewswire.com/news-releases/meanwhile-bitcoin-life-insurer-secures-82m-to-meet-soaring-demand-for-inflation-proof-savings-302578311.html" TargetMode="External"/><Relationship Id="rId167" Type="http://schemas.openxmlformats.org/officeDocument/2006/relationships/hyperlink" Target="https://arrived.com/blog/series-b-fundraise" TargetMode="External"/><Relationship Id="rId188" Type="http://schemas.openxmlformats.org/officeDocument/2006/relationships/hyperlink" Target="https://www.fintechfutures.com/venture-capital-funding/informed-iq-raises-63m" TargetMode="External"/><Relationship Id="rId71" Type="http://schemas.openxmlformats.org/officeDocument/2006/relationships/hyperlink" Target="https://www.wamda.com/2026/02/saudi-bnpl-madfu-closes-25-5-million-pre-series-a" TargetMode="External"/><Relationship Id="rId92" Type="http://schemas.openxmlformats.org/officeDocument/2006/relationships/hyperlink" Target="https://fintech.global/2026/03/11/pactfi-raises-25m-series-a-to-modernise-private-credit/" TargetMode="External"/><Relationship Id="rId213" Type="http://schemas.openxmlformats.org/officeDocument/2006/relationships/hyperlink" Target="https://www.prnewswire.com/news-releases/broadridge-announces-strategic-investment-in-centrl-to-enhance-due-diligence-and-rfp-solutions-for-asset-management-and-retirement-industry-302746279.html" TargetMode="External"/><Relationship Id="rId234" Type="http://schemas.openxmlformats.org/officeDocument/2006/relationships/hyperlink" Target="https://fintech.global/2026/05/04/reserv-raises-125m-series-c-led-by-kkr/" TargetMode="External"/><Relationship Id="rId2" Type="http://schemas.openxmlformats.org/officeDocument/2006/relationships/hyperlink" Target="https://fintech.global/2026/01/09/enterprise-ai-security-company-cyera-raises-400m/?_gl=1*9xc3wu*_up*MQ..*_gs*MQ..&amp;gclid=CjwKCAiA64LLBhBhEiwA-Pxgu32sBTOPOEPoXsN1a3_DtyQGlnEIrqfe5svyX1fPAsd5dyK1Y76rbRoCRGwQAvD_BwE" TargetMode="External"/><Relationship Id="rId29" Type="http://schemas.openxmlformats.org/officeDocument/2006/relationships/hyperlink" Target="https://fintech.global/2026/01/29/outtake-raises-40m-led-by-iconiq-to-fight-ai-deception/" TargetMode="External"/><Relationship Id="rId255" Type="http://schemas.openxmlformats.org/officeDocument/2006/relationships/hyperlink" Target="https://www.familywealthreport.com/article.php/Deals-Of-The-Day:-The-Latest-In-Wealth-Management-M&amp;A-%E2%80%93-Accelerated-Wealth-Partners,-Brooklyn-Fi?id=207811" TargetMode="External"/><Relationship Id="rId276" Type="http://schemas.openxmlformats.org/officeDocument/2006/relationships/hyperlink" Target="https://www.prnewswire.com/news-releases/chronograph-announces-140m-growth-equity-investment-from-sixth-street-growth-launches-private-credit-platform-302800776.html" TargetMode="External"/><Relationship Id="rId297" Type="http://schemas.openxmlformats.org/officeDocument/2006/relationships/hyperlink" Target="https://www.globenewswire.com/news-release/2026/06/24/3317007/0/en/matic-secures-minority-investment-from-primus-capital-and-acquires-policygenius-property-and-casualty-insurance-book.html" TargetMode="External"/><Relationship Id="rId40" Type="http://schemas.openxmlformats.org/officeDocument/2006/relationships/hyperlink" Target="https://www.finsmes.com/2026/02/turnstile-raises-29m-in-funding.html" TargetMode="External"/><Relationship Id="rId115" Type="http://schemas.openxmlformats.org/officeDocument/2006/relationships/hyperlink" Target="https://fintech.global/2025/10/30/wealthsimple-bags-750m-to-expand-financial-platform/" TargetMode="External"/><Relationship Id="rId136" Type="http://schemas.openxmlformats.org/officeDocument/2006/relationships/hyperlink" Target="https://www.novacredit.com/corporate-blog/nova-credit-raises-usd35m-series-d-to-accelerate-cash-flow-underwriting" TargetMode="External"/><Relationship Id="rId157" Type="http://schemas.openxmlformats.org/officeDocument/2006/relationships/hyperlink" Target="https://www.prnewswire.com/news-releases/gradbridge-raises-20-million-series-a-led-by-acorn-investment-partners-a-portfolio-company-of-oaktree-302590851.html" TargetMode="External"/><Relationship Id="rId178" Type="http://schemas.openxmlformats.org/officeDocument/2006/relationships/hyperlink" Target="https://www.prnewswire.com/news-releases/ramp-reaches-32-billion-valuation-doubling-revenue-and-customers-in-past-year-302616510.html" TargetMode="External"/><Relationship Id="rId301" Type="http://schemas.openxmlformats.org/officeDocument/2006/relationships/hyperlink" Target="https://www.businesswire.com/news/home/20260629317768/en/Nebex-Raises-$30M-Seed-Round-Led-by-GV-to-Build-Market-Infrastructure-for-the-Global-Space-Economy" TargetMode="External"/><Relationship Id="rId61" Type="http://schemas.openxmlformats.org/officeDocument/2006/relationships/hyperlink" Target="https://iglooinsure.com/press/36m-pre-series-c-fundraise/" TargetMode="External"/><Relationship Id="rId82" Type="http://schemas.openxmlformats.org/officeDocument/2006/relationships/hyperlink" Target="https://fintech.global/2026/03/05/silverflow-closes-40m-series-b-to-fuel-global-growth/" TargetMode="External"/><Relationship Id="rId199" Type="http://schemas.openxmlformats.org/officeDocument/2006/relationships/hyperlink" Target="https://cryptobriefing.com/kalshi-funding-valuation-doubling/" TargetMode="External"/><Relationship Id="rId203" Type="http://schemas.openxmlformats.org/officeDocument/2006/relationships/hyperlink" Target="https://www.businesswire.com/news/home/20260409346900/en/Pipe-Raises-%2416-Million-in-New-Funding-Round-Led-by-Fin-Capital-and-MaC-Venture-Capital" TargetMode="External"/><Relationship Id="rId19" Type="http://schemas.openxmlformats.org/officeDocument/2006/relationships/hyperlink" Target="https://fintech.global/2026/01/28/gridline-secures-18-5m-series-a-to-scale-private-markets-platform/" TargetMode="External"/><Relationship Id="rId224" Type="http://schemas.openxmlformats.org/officeDocument/2006/relationships/hyperlink" Target="https://fintech.global/2026/04/29/tcv-and-first-harmonic-back-activelys-45m-funding-round/?_gl=1*jywlwx*_up*MQ..*_gs*MQ..&amp;gclid=Cj0KCQjwh-HPBhCIARIsAC0p3ceucXiErPpRV-5etwjFxkccwtK3WhJXwFT0TKk2AEtkTpehqOOVWjEaAuG9EALw_wcB" TargetMode="External"/><Relationship Id="rId245" Type="http://schemas.openxmlformats.org/officeDocument/2006/relationships/hyperlink" Target="https://finance.yahoo.com/sectors/technology/articles/moment-raises-78-million-largest-130000739.html" TargetMode="External"/><Relationship Id="rId266" Type="http://schemas.openxmlformats.org/officeDocument/2006/relationships/hyperlink" Target="https://www.prnewswire.com/news-releases/ramp-raises-series-f-at-44-billion-valuation-302791103.html" TargetMode="External"/><Relationship Id="rId287" Type="http://schemas.openxmlformats.org/officeDocument/2006/relationships/hyperlink" Target="https://www.businesswire.com/news/home/20260624333055/en/" TargetMode="External"/><Relationship Id="rId30" Type="http://schemas.openxmlformats.org/officeDocument/2006/relationships/hyperlink" Target="https://fintech.global/2026/01/30/insurtech-firm-sixfold-secures-30m-to-advance-ai-underwriting/" TargetMode="External"/><Relationship Id="rId105" Type="http://schemas.openxmlformats.org/officeDocument/2006/relationships/hyperlink" Target="https://fintech.global/2026/03/26/notch-raises-30m-series-a-for-ai-agents-in-insurance/" TargetMode="External"/><Relationship Id="rId126" Type="http://schemas.openxmlformats.org/officeDocument/2006/relationships/hyperlink" Target="https://fintech.global/2025/10/17/payroll-giant-deel-bags-300m-at-17-3bn-valuation/" TargetMode="External"/><Relationship Id="rId147" Type="http://schemas.openxmlformats.org/officeDocument/2006/relationships/hyperlink" Target="https://www.forbes.com/sites/charliefink/2025/10/07/furtherai-raises-25m-from-andreessen-to-automate-insurance-workflows/" TargetMode="External"/><Relationship Id="rId168" Type="http://schemas.openxmlformats.org/officeDocument/2006/relationships/hyperlink" Target="https://www.finnable.com/newsroom/press-release/finnable-closes-500-cr-equity-raise-to-drive-the-future-of-credit-access-in-india/" TargetMode="External"/><Relationship Id="rId51" Type="http://schemas.openxmlformats.org/officeDocument/2006/relationships/hyperlink" Target="https://guce.yahoo.com/copyConsent?sessionId=1_cc-session_cb5a3e19-99d8-4081-a3ae-c72ff389234e&amp;lang=en-GB" TargetMode="External"/><Relationship Id="rId72" Type="http://schemas.openxmlformats.org/officeDocument/2006/relationships/hyperlink" Target="https://news.crunchbase.com/venture/ownwell-raise-lower-homeowner-property-tax/" TargetMode="External"/><Relationship Id="rId93" Type="http://schemas.openxmlformats.org/officeDocument/2006/relationships/hyperlink" Target="https://www.thesaasnews.com/news/oro-labs-secures-100-million-in-series-c" TargetMode="External"/><Relationship Id="rId189" Type="http://schemas.openxmlformats.org/officeDocument/2006/relationships/hyperlink" Target="https://www.fintechfutures.com/venture-capital-funding/esusu-lands-50m-in-series-c-funding" TargetMode="External"/><Relationship Id="rId3" Type="http://schemas.openxmlformats.org/officeDocument/2006/relationships/hyperlink" Target="https://www.businesswire.com/news/home/20260108303360/en/Luxury-Presence-Secures-%2437M-Raise-for-Presence-CRM-the-First-AI-Relationship-Engine-That-Finds-Hidden-Deals-in-Real-Estate-Agents-Networks" TargetMode="External"/><Relationship Id="rId214" Type="http://schemas.openxmlformats.org/officeDocument/2006/relationships/hyperlink" Target="https://techcrunch.com/2026/04/23/salmon-raises-100m-in-equity-and-debt-to-bring-digital-credit-to-underbanked-filipinos/" TargetMode="External"/><Relationship Id="rId235" Type="http://schemas.openxmlformats.org/officeDocument/2006/relationships/hyperlink" Target="https://www.fintechfutures.com/venture-capital-funding/equipifi-34m-series-b" TargetMode="External"/><Relationship Id="rId256" Type="http://schemas.openxmlformats.org/officeDocument/2006/relationships/hyperlink" Target="https://fintech.global/2026/06/01/saris-raises-28-8m-to-automate-bank-back-offices/" TargetMode="External"/><Relationship Id="rId277" Type="http://schemas.openxmlformats.org/officeDocument/2006/relationships/hyperlink" Target="https://www.businesswire.com/news/home/20260617531116/en/Behavox-Raises-$175-Million-from-HPS-Investment-Partners-Part-of-BlackRock-to-Accelerate-Global-Growth" TargetMode="External"/><Relationship Id="rId298" Type="http://schemas.openxmlformats.org/officeDocument/2006/relationships/hyperlink" Target="https://www.prnewswire.com/news-releases/novel-financial-holdings-secures-investment-from-flexpoint-ford-302806069.html" TargetMode="External"/><Relationship Id="rId116" Type="http://schemas.openxmlformats.org/officeDocument/2006/relationships/hyperlink" Target="https://fintech.global/2025/10/29/ai-fintech-grasp-secures-7m-series-a-funding-round/" TargetMode="External"/><Relationship Id="rId137" Type="http://schemas.openxmlformats.org/officeDocument/2006/relationships/hyperlink" Target="https://www.businesswire.com/news/home/20251009817786/en/%2450M-Series-B-Fuels-Yendos-AI-Credit-Platform-Unlocking-%244T-in-Consumer-Assets" TargetMode="External"/><Relationship Id="rId158" Type="http://schemas.openxmlformats.org/officeDocument/2006/relationships/hyperlink" Target="https://www.prnewswire.com/news-releases/vantaca-secures-300m-growth-investment-at-1-25b-valuation-to-cement-ai-first-market-leadership-302584948.html" TargetMode="External"/><Relationship Id="rId302" Type="http://schemas.openxmlformats.org/officeDocument/2006/relationships/hyperlink" Target="https://www.leapxpert.com/leapxpert-raises-180-million-to-lead-ai-powered-governed-communications/" TargetMode="External"/><Relationship Id="rId20" Type="http://schemas.openxmlformats.org/officeDocument/2006/relationships/hyperlink" Target="https://fintech.global/2026/01/27/lunar-raises-e46m-to-fuel-nordic-banking-expansion/" TargetMode="External"/><Relationship Id="rId41" Type="http://schemas.openxmlformats.org/officeDocument/2006/relationships/hyperlink" Target="https://www.finsmes.com/2026/02/accrual-raises-75m-in-funding.html" TargetMode="External"/><Relationship Id="rId62" Type="http://schemas.openxmlformats.org/officeDocument/2006/relationships/hyperlink" Target="https://www.prnewswire.com/news-releases/dealhubio-reports-growth-with-100m-new-funding-302665560.html" TargetMode="External"/><Relationship Id="rId83" Type="http://schemas.openxmlformats.org/officeDocument/2006/relationships/hyperlink" Target="https://fintech.global/2026/03/05/rent2cash-closes-e100m-round-to-scale-rental-advance/" TargetMode="External"/><Relationship Id="rId179" Type="http://schemas.openxmlformats.org/officeDocument/2006/relationships/hyperlink" Target="https://newsroom.avalara.com/2025-11-11-Avalara-Announces-500-Million-Investment-Led-by-BlackRock" TargetMode="External"/><Relationship Id="rId190" Type="http://schemas.openxmlformats.org/officeDocument/2006/relationships/hyperlink" Target="https://www.prnewswire.com/news-releases/oncorps-ai-raises-55-million-to-scale-agentic-fund-operations-for-asset-managers-302638865.html" TargetMode="External"/><Relationship Id="rId204" Type="http://schemas.openxmlformats.org/officeDocument/2006/relationships/hyperlink" Target="https://coverager.com/insurica-raises-25-million/" TargetMode="External"/><Relationship Id="rId225" Type="http://schemas.openxmlformats.org/officeDocument/2006/relationships/hyperlink" Target="https://fintech.global/2026/04/29/counterpart-raises-50m-series-c-to-tackle-ai-era-business-risks/?_gl=1*jywlwx*_up*MQ..*_gs*MQ..&amp;gclid=Cj0KCQjwh-HPBhCIARIsAC0p3ceucXiErPpRV-5etwjFxkccwtK3WhJXwFT0TKk2AEtkTpehqOOVWjEaAuG9EALw_wcB" TargetMode="External"/><Relationship Id="rId246" Type="http://schemas.openxmlformats.org/officeDocument/2006/relationships/hyperlink" Target="https://fintech.global/2026/05/19/bunch-secures-35m-to-modernise-private-markets/" TargetMode="External"/><Relationship Id="rId267" Type="http://schemas.openxmlformats.org/officeDocument/2006/relationships/hyperlink" Target="https://www.businesswire.com/news/home/20260603796346/en/Kpler-Announces-Strategic-Growth-Equity-Investment-from-Sixth-Street" TargetMode="External"/><Relationship Id="rId288" Type="http://schemas.openxmlformats.org/officeDocument/2006/relationships/hyperlink" Target="https://fortune.com/2026/06/24/exclusive-taktile-goldman-sachs-ai-bank-insurance-funding/" TargetMode="External"/><Relationship Id="rId106" Type="http://schemas.openxmlformats.org/officeDocument/2006/relationships/hyperlink" Target="https://fintech.global/2026/03/25/shepherd-raises-42m-to-boost-commercial-insurance/" TargetMode="External"/><Relationship Id="rId127" Type="http://schemas.openxmlformats.org/officeDocument/2006/relationships/hyperlink" Target="https://fintech.global/2025/10/17/stand-insurance-secures-35m-series-b-to-expand-in-florida/" TargetMode="External"/><Relationship Id="rId10" Type="http://schemas.openxmlformats.org/officeDocument/2006/relationships/hyperlink" Target="https://www.reuters.com/technology/stablecoin-firm-rain-valued-195-billion-latest-fundraise-2026-01-09/" TargetMode="External"/><Relationship Id="rId31" Type="http://schemas.openxmlformats.org/officeDocument/2006/relationships/hyperlink" Target="https://fintech.global/2026/02/02/fieldguide-secures-75m-series-c-to-scale-agentic-ai/" TargetMode="External"/><Relationship Id="rId52" Type="http://schemas.openxmlformats.org/officeDocument/2006/relationships/hyperlink" Target="https://fintech.global/2026/02/18/digital-property-platform-stake-bags-31m/" TargetMode="External"/><Relationship Id="rId73" Type="http://schemas.openxmlformats.org/officeDocument/2006/relationships/hyperlink" Target="https://fintech.global/2026/02/25/xflow-raises-16-6m-series-a-led-by-general-catalyst/" TargetMode="External"/><Relationship Id="rId94" Type="http://schemas.openxmlformats.org/officeDocument/2006/relationships/hyperlink" Target="https://fintech.global/2026/03/13/digital-asset-data-platform-cryptio-lands-45m-round/" TargetMode="External"/><Relationship Id="rId148" Type="http://schemas.openxmlformats.org/officeDocument/2006/relationships/hyperlink" Target="https://www.prnewswire.com/news-releases/campfire-raises-65-million-series-b-to-redefine-how-finance-works-in-the-ai-era-302585077.html" TargetMode="External"/><Relationship Id="rId169" Type="http://schemas.openxmlformats.org/officeDocument/2006/relationships/hyperlink" Target="https://www.prnewswire.com/news-releases/octane-raises-100m-in-series-f-funding-round-302640478.html" TargetMode="External"/><Relationship Id="rId4" Type="http://schemas.openxmlformats.org/officeDocument/2006/relationships/hyperlink" Target="https://fintech.global/2026/01/14/wint-wealth-raises-inr-250-cr-in-series-b-funding/" TargetMode="External"/><Relationship Id="rId180" Type="http://schemas.openxmlformats.org/officeDocument/2006/relationships/hyperlink" Target="https://techcrunch.com/2025/11/24/revolut-hits-75b-valuation-in-new-capital-raise/" TargetMode="External"/><Relationship Id="rId215" Type="http://schemas.openxmlformats.org/officeDocument/2006/relationships/hyperlink" Target="https://ftvcapital.com/2026/valitana-secures-significant-growth-equity-investment-from-ftv-capital/" TargetMode="External"/><Relationship Id="rId236" Type="http://schemas.openxmlformats.org/officeDocument/2006/relationships/hyperlink" Target="https://www.fintechfutures.com/venture-capital-funding/equipifi-34m-series-b" TargetMode="External"/><Relationship Id="rId257" Type="http://schemas.openxmlformats.org/officeDocument/2006/relationships/hyperlink" Target="https://ventureburn.com/capchase-raises-200m-to-expand-financing-platform/" TargetMode="External"/><Relationship Id="rId278" Type="http://schemas.openxmlformats.org/officeDocument/2006/relationships/hyperlink" Target="https://www.prnewswire.com/news-releases/connie-health-announces-acquisition-of-clearlink-insurance-agency-and-series-b-funding-to-accelerate-growth-in-medicare-302803979.html" TargetMode="External"/><Relationship Id="rId303" Type="http://schemas.openxmlformats.org/officeDocument/2006/relationships/hyperlink" Target="https://www.prnewswire.com/news-releases/quantifind-announces-200-million-growth-investment-led-by-summit-partners-to-advance-ai-native-risk-intelligence-and-governed-agentic-middleware-for-modern-risk-operations-302811745.html" TargetMode="External"/><Relationship Id="rId42" Type="http://schemas.openxmlformats.org/officeDocument/2006/relationships/hyperlink" Target="https://techcrunch.com/2026/02/04/stripe-alumni-raise-e30m-series-a-for-duna-backed-by-stripe-and-adyen-execs/" TargetMode="External"/><Relationship Id="rId84" Type="http://schemas.openxmlformats.org/officeDocument/2006/relationships/hyperlink" Target="https://fintech.global/2026/03/20/geowealth-secures-42-5m-goldman-sachs-series-c-extension/" TargetMode="External"/><Relationship Id="rId138" Type="http://schemas.openxmlformats.org/officeDocument/2006/relationships/hyperlink" Target="https://www.bing.com/search?q=raise+and+hornbill+capital+raise&amp;cvid=06ded2bc84ed464dadb70ef0f45dd8fa&amp;gs_lcrp=EgRlZGdlKgYIABBFGDkyBggAEEUYOTIGCAEQABhAMggIAhDpBxj8VdIBCDUzMzZqMGo5qAIIsAIB&amp;FORM=ANAB01&amp;PC=U531" TargetMode="External"/><Relationship Id="rId191" Type="http://schemas.openxmlformats.org/officeDocument/2006/relationships/hyperlink" Target="https://fintech.global/2025/12/11/hnry-raises-30m-series-c-and-launches-new-sole-trader-tools/" TargetMode="External"/><Relationship Id="rId205" Type="http://schemas.openxmlformats.org/officeDocument/2006/relationships/hyperlink" Target="https://fintech.global/2026/04/07/linx-security-raises-50m-series-b-to-tackle-identity-risk/" TargetMode="External"/><Relationship Id="rId247" Type="http://schemas.openxmlformats.org/officeDocument/2006/relationships/hyperlink" Target="https://www.businesswire.com/news/home/20260520511817/en/Mercury-Raises-%24200-Million-Series-D-at-%245.2B-Valuation" TargetMode="External"/><Relationship Id="rId107" Type="http://schemas.openxmlformats.org/officeDocument/2006/relationships/hyperlink" Target="https://fintech.global/2026/03/26/cents-raises-140m-in-series-c-led-by-sumeru-equity/" TargetMode="External"/><Relationship Id="rId289" Type="http://schemas.openxmlformats.org/officeDocument/2006/relationships/hyperlink" Target="https://www.fintechfutures.com/venture-capital-funding/float-financial-lands-60m-series-c" TargetMode="External"/><Relationship Id="rId11" Type="http://schemas.openxmlformats.org/officeDocument/2006/relationships/hyperlink" Target="https://www.globenewswire.com/news-release/2026/01/15/3219954/0/en/StarRez-Announces-Strategic-Investment-from-Five-Arrows-and-Vista-Equity-Partners-to-Accelerate-Next-Phase-of-Growth.html" TargetMode="External"/><Relationship Id="rId53" Type="http://schemas.openxmlformats.org/officeDocument/2006/relationships/hyperlink" Target="https://fintech.global/2026/02/17/ai-driven-insurtech-mea-lands-50m-minority-stake-from-sep/" TargetMode="External"/><Relationship Id="rId149" Type="http://schemas.openxmlformats.org/officeDocument/2006/relationships/hyperlink" Target="https://www.bing.com/search?q=basis+theory+capital+riase&amp;cvid=018f7db78a6545fd9bbcdc6785f24317&amp;gs_lcrp=EgRlZGdlKgYIABBFGDkyBggAEEUYOTIICAEQ6QcY_FXSAQg0MjkyajBqOagCCLACAQ&amp;FORM=ANAB01&amp;PC=U531" TargetMode="External"/><Relationship Id="rId95" Type="http://schemas.openxmlformats.org/officeDocument/2006/relationships/hyperlink" Target="https://fintech.global/2026/03/11/data-security-firm-jazz-lands-61m-to-reinvent-dlp/" TargetMode="External"/><Relationship Id="rId160" Type="http://schemas.openxmlformats.org/officeDocument/2006/relationships/hyperlink" Target="https://finance.yahoo.com/news/startup-hercle-raises-10-million-120000669.html?guccounter=1&amp;guce_referrer=aHR0cHM6Ly93d3cuYmluZy5jb20v&amp;guce_referrer_sig=AQAAAJHJ_AI9yTF2lmFmkmbu8LWjwlgcsZuILZ24OyrXezRkNccL3YheO5ff5EOlxPPbmC_tpcYvOXJYiWObeXFxz3hHsmMmLRi0e_VvBaFYmpMHDwks7Ma3brFMKe08eJOO0EojdRLw6a-OjJCea-GMqnnjeTxxi7KanTznYxiPpk_Q" TargetMode="External"/><Relationship Id="rId216" Type="http://schemas.openxmlformats.org/officeDocument/2006/relationships/hyperlink" Target="https://www.businesswire.com/news/home/20260423798094/en/Goldman-Sachs-Alternatives-Invests-%2450-Million-in-BLP-Digital-Betting-on-Agentic-AI-for-Core-Finance-Processes" TargetMode="External"/><Relationship Id="rId258" Type="http://schemas.openxmlformats.org/officeDocument/2006/relationships/hyperlink" Target="https://fintech.global/2026/05/26/pivot-raises-40m-series-b-to-transform-procurement-ai/" TargetMode="External"/><Relationship Id="rId22" Type="http://schemas.openxmlformats.org/officeDocument/2006/relationships/hyperlink" Target="https://fintech.global/2026/01/29/fraud-protection-fintech-memcyco-bags-37m-funding/" TargetMode="External"/><Relationship Id="rId64" Type="http://schemas.openxmlformats.org/officeDocument/2006/relationships/hyperlink" Target="https://www.businesswire.com/news/home/20260218815049/en/Avantos-Raises-%2435-Million-to-Power-the-Future-of-Client-Servicing-in-Financial-Services" TargetMode="External"/><Relationship Id="rId118" Type="http://schemas.openxmlformats.org/officeDocument/2006/relationships/hyperlink" Target="https://fintech.global/2025/10/27/clerq-raises-21m-to-transform-high-ticket-payments/" TargetMode="External"/><Relationship Id="rId171" Type="http://schemas.openxmlformats.org/officeDocument/2006/relationships/hyperlink" Target="https://techcrunch.com/2025/12/02/kalshi-raises-1b-at-11b-valuation-doubling-value-in-under-two-months/" TargetMode="External"/><Relationship Id="rId227" Type="http://schemas.openxmlformats.org/officeDocument/2006/relationships/hyperlink" Target="https://www.fintechfutures.com/venture-capital-funding/ebury-550m-raise-santander-increases-majority-stake" TargetMode="External"/><Relationship Id="rId269" Type="http://schemas.openxmlformats.org/officeDocument/2006/relationships/hyperlink" Target="https://www.thebankslate.com/2026/06/neobank-current-raises-80-million-in-latest-funding-round/" TargetMode="External"/><Relationship Id="rId33" Type="http://schemas.openxmlformats.org/officeDocument/2006/relationships/hyperlink" Target="https://fintech.global/2026/02/02/talos-extends-series-b-to-150m-with-strategic-backing/" TargetMode="External"/><Relationship Id="rId129" Type="http://schemas.openxmlformats.org/officeDocument/2006/relationships/hyperlink" Target="https://qolo.io/events/qolo-secures-strategic-investment-from-huntington-national-bank/" TargetMode="External"/><Relationship Id="rId280" Type="http://schemas.openxmlformats.org/officeDocument/2006/relationships/hyperlink" Target="https://www.prnewswire.com/news-releases/interchecks-secures-50m-series-c-to-expand-instant-payments-infrastructure-launches-account-funding-transactions-302799620.html" TargetMode="External"/><Relationship Id="rId75" Type="http://schemas.openxmlformats.org/officeDocument/2006/relationships/hyperlink" Target="https://www.fintechfutures.com/venture-capital-funding/allica-bank-achieves-unicorn-status-with-155m-series-d" TargetMode="External"/><Relationship Id="rId140" Type="http://schemas.openxmlformats.org/officeDocument/2006/relationships/hyperlink" Target="https://ventureburn.com/better-payment-network-raises-50-millionaire-seed-round-led-by-yzi-labs-to-build-stablecoin-payment-infrastructure/" TargetMode="External"/><Relationship Id="rId182" Type="http://schemas.openxmlformats.org/officeDocument/2006/relationships/hyperlink" Target="https://fintech.global/2025/12/17/thread-raises-30-5m-to-expand-embedded-banking-digital-branch-model/" TargetMode="External"/><Relationship Id="rId6" Type="http://schemas.openxmlformats.org/officeDocument/2006/relationships/hyperlink" Target="https://www.fintechfutures.com/venture-capital-funding/alpaca-raises-150m-series-d" TargetMode="External"/><Relationship Id="rId238" Type="http://schemas.openxmlformats.org/officeDocument/2006/relationships/hyperlink" Target="https://www.fintechfutures.com/venture-capital-funding/elliptic-secures-120m-series-d-fundraise" TargetMode="External"/><Relationship Id="rId291" Type="http://schemas.openxmlformats.org/officeDocument/2006/relationships/hyperlink" Target="https://fintech.global/2026/06/22/andera-raises-37m-to-automate-internal-audit/" TargetMode="External"/><Relationship Id="rId305" Type="http://schemas.openxmlformats.org/officeDocument/2006/relationships/hyperlink" Target="https://fintech.global/2026/07/02/addi-secures-85m-series-d-led-by-citius-and-btg-pactu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B0B2-6FFE-44FF-BA07-5C2E4274293C}">
  <dimension ref="A1:Y347"/>
  <sheetViews>
    <sheetView showGridLines="0" zoomScaleNormal="100" workbookViewId="0">
      <pane ySplit="3" topLeftCell="A4" activePane="bottomLeft" state="frozen"/>
      <selection pane="bottomLeft" activeCell="C3" sqref="C3:M7"/>
    </sheetView>
  </sheetViews>
  <sheetFormatPr defaultColWidth="9.1796875" defaultRowHeight="16" outlineLevelCol="1" x14ac:dyDescent="0.45"/>
  <cols>
    <col min="1" max="1" width="2.7265625" style="1" customWidth="1"/>
    <col min="2" max="2" width="12.54296875" style="1" hidden="1" customWidth="1" outlineLevel="1"/>
    <col min="3" max="3" width="14.7265625" style="3" customWidth="1" collapsed="1"/>
    <col min="4" max="4" width="14.7265625" style="3" customWidth="1"/>
    <col min="5" max="5" width="15.1796875" style="1" bestFit="1" customWidth="1"/>
    <col min="6" max="6" width="11.7265625" style="1" customWidth="1"/>
    <col min="7" max="7" width="17.7265625" style="1" customWidth="1"/>
    <col min="8" max="8" width="20.7265625" style="1" customWidth="1"/>
    <col min="9" max="11" width="12.7265625" style="4" customWidth="1"/>
    <col min="12" max="12" width="106.7265625" style="1" customWidth="1"/>
    <col min="13" max="13" width="12.7265625" style="1" customWidth="1"/>
    <col min="14" max="14" width="12.7265625" style="1" hidden="1" customWidth="1" outlineLevel="1"/>
    <col min="15" max="15" width="10.7265625" style="1" hidden="1" customWidth="1" outlineLevel="1"/>
    <col min="16" max="17" width="15.7265625" style="1" hidden="1" customWidth="1" outlineLevel="1"/>
    <col min="18" max="18" width="17" style="1" hidden="1" customWidth="1" outlineLevel="1"/>
    <col min="19" max="19" width="9.1796875" style="1" collapsed="1"/>
    <col min="20" max="20" width="9.1796875" style="1"/>
    <col min="21" max="21" width="24.81640625" style="1" bestFit="1" customWidth="1"/>
    <col min="22" max="16384" width="9.1796875" style="1"/>
  </cols>
  <sheetData>
    <row r="1" spans="1:18" x14ac:dyDescent="0.45">
      <c r="A1" s="1" t="s">
        <v>7</v>
      </c>
      <c r="E1" s="2"/>
    </row>
    <row r="2" spans="1:18" x14ac:dyDescent="0.45">
      <c r="A2" s="5"/>
      <c r="B2" s="5"/>
      <c r="E2" s="5"/>
    </row>
    <row r="3" spans="1:18" ht="45" customHeight="1" x14ac:dyDescent="0.45">
      <c r="A3" s="5" t="s">
        <v>18</v>
      </c>
      <c r="B3" s="6" t="s">
        <v>1385</v>
      </c>
      <c r="C3" s="6" t="s">
        <v>11</v>
      </c>
      <c r="D3" s="6" t="s">
        <v>3</v>
      </c>
      <c r="E3" s="6" t="s">
        <v>13</v>
      </c>
      <c r="F3" s="6" t="s">
        <v>1446</v>
      </c>
      <c r="G3" s="6" t="s">
        <v>0</v>
      </c>
      <c r="H3" s="6" t="s">
        <v>4</v>
      </c>
      <c r="I3" s="6" t="s">
        <v>1445</v>
      </c>
      <c r="J3" s="6" t="s">
        <v>22</v>
      </c>
      <c r="K3" s="6" t="s">
        <v>23</v>
      </c>
      <c r="L3" s="6" t="s">
        <v>1</v>
      </c>
      <c r="M3" s="6" t="s">
        <v>6</v>
      </c>
      <c r="N3" s="7" t="s">
        <v>20</v>
      </c>
      <c r="O3" s="7" t="s">
        <v>21</v>
      </c>
      <c r="P3" s="8" t="s">
        <v>8</v>
      </c>
      <c r="Q3" s="8" t="s">
        <v>26</v>
      </c>
      <c r="R3" s="6" t="s">
        <v>25</v>
      </c>
    </row>
    <row r="4" spans="1:18" ht="30" customHeight="1" x14ac:dyDescent="0.45">
      <c r="B4" s="45"/>
      <c r="C4" s="9" t="s">
        <v>14</v>
      </c>
      <c r="D4" s="10" t="s">
        <v>110</v>
      </c>
      <c r="E4" s="10" t="s">
        <v>27</v>
      </c>
      <c r="F4" s="11" t="s">
        <v>1942</v>
      </c>
      <c r="G4" s="12" t="s">
        <v>1943</v>
      </c>
      <c r="H4" s="12" t="s">
        <v>1944</v>
      </c>
      <c r="I4" s="40" t="s">
        <v>41</v>
      </c>
      <c r="J4" s="40" t="s">
        <v>41</v>
      </c>
      <c r="K4" s="40" t="s">
        <v>41</v>
      </c>
      <c r="L4" s="14" t="s">
        <v>1962</v>
      </c>
      <c r="M4" s="46" t="s">
        <v>29</v>
      </c>
      <c r="N4" s="16"/>
      <c r="O4" s="15"/>
      <c r="P4" s="17"/>
      <c r="Q4" s="17"/>
      <c r="R4" s="18"/>
    </row>
    <row r="5" spans="1:18" ht="30" customHeight="1" x14ac:dyDescent="0.45">
      <c r="B5" s="45"/>
      <c r="C5" s="9" t="s">
        <v>14</v>
      </c>
      <c r="D5" s="10" t="s">
        <v>219</v>
      </c>
      <c r="E5" s="10" t="s">
        <v>27</v>
      </c>
      <c r="F5" s="11" t="s">
        <v>1940</v>
      </c>
      <c r="G5" s="12" t="s">
        <v>1958</v>
      </c>
      <c r="H5" s="12" t="s">
        <v>1941</v>
      </c>
      <c r="I5" s="40" t="s">
        <v>41</v>
      </c>
      <c r="J5" s="40" t="s">
        <v>41</v>
      </c>
      <c r="K5" s="40" t="s">
        <v>41</v>
      </c>
      <c r="L5" s="14" t="s">
        <v>1961</v>
      </c>
      <c r="M5" s="46" t="s">
        <v>29</v>
      </c>
      <c r="N5" s="16"/>
      <c r="O5" s="15"/>
      <c r="P5" s="17"/>
      <c r="Q5" s="17"/>
      <c r="R5" s="18"/>
    </row>
    <row r="6" spans="1:18" ht="30" customHeight="1" x14ac:dyDescent="0.45">
      <c r="B6" s="45"/>
      <c r="C6" s="9" t="s">
        <v>10</v>
      </c>
      <c r="D6" s="10" t="s">
        <v>99</v>
      </c>
      <c r="E6" s="10" t="s">
        <v>27</v>
      </c>
      <c r="F6" s="11" t="s">
        <v>1946</v>
      </c>
      <c r="G6" s="12" t="s">
        <v>1948</v>
      </c>
      <c r="H6" s="12" t="s">
        <v>1949</v>
      </c>
      <c r="I6" s="40" t="s">
        <v>41</v>
      </c>
      <c r="J6" s="40" t="s">
        <v>41</v>
      </c>
      <c r="K6" s="40" t="s">
        <v>41</v>
      </c>
      <c r="L6" s="14" t="s">
        <v>1968</v>
      </c>
      <c r="M6" s="46" t="s">
        <v>29</v>
      </c>
      <c r="N6" s="16"/>
      <c r="O6" s="15"/>
      <c r="P6" s="17"/>
      <c r="Q6" s="17"/>
      <c r="R6" s="18"/>
    </row>
    <row r="7" spans="1:18" ht="30" customHeight="1" x14ac:dyDescent="0.45">
      <c r="B7" s="45"/>
      <c r="C7" s="9" t="s">
        <v>19</v>
      </c>
      <c r="D7" s="10" t="s">
        <v>110</v>
      </c>
      <c r="E7" s="10" t="s">
        <v>27</v>
      </c>
      <c r="F7" s="11" t="s">
        <v>1942</v>
      </c>
      <c r="G7" s="12" t="s">
        <v>1959</v>
      </c>
      <c r="H7" s="12" t="s">
        <v>1960</v>
      </c>
      <c r="I7" s="40" t="s">
        <v>41</v>
      </c>
      <c r="J7" s="40" t="s">
        <v>41</v>
      </c>
      <c r="K7" s="40" t="s">
        <v>41</v>
      </c>
      <c r="L7" s="14" t="s">
        <v>1963</v>
      </c>
      <c r="M7" s="46" t="s">
        <v>29</v>
      </c>
      <c r="N7" s="16"/>
      <c r="O7" s="15"/>
      <c r="P7" s="17"/>
      <c r="Q7" s="17"/>
      <c r="R7" s="18"/>
    </row>
    <row r="8" spans="1:18" ht="30" customHeight="1" x14ac:dyDescent="0.45">
      <c r="B8" s="45"/>
      <c r="C8" s="9"/>
      <c r="D8" s="10"/>
      <c r="E8" s="10"/>
      <c r="F8" s="11"/>
      <c r="G8" s="12"/>
      <c r="H8" s="12"/>
      <c r="I8" s="40"/>
      <c r="J8" s="40"/>
      <c r="K8" s="40"/>
      <c r="L8" s="14"/>
      <c r="M8" s="46"/>
      <c r="N8" s="16"/>
      <c r="O8" s="15"/>
      <c r="P8" s="17"/>
      <c r="Q8" s="17"/>
      <c r="R8" s="18"/>
    </row>
    <row r="9" spans="1:18" ht="30" customHeight="1" x14ac:dyDescent="0.45">
      <c r="B9" s="45"/>
      <c r="C9" s="9"/>
      <c r="D9" s="10"/>
      <c r="E9" s="10"/>
      <c r="F9" s="11"/>
      <c r="G9" s="12"/>
      <c r="H9" s="12"/>
      <c r="I9" s="40"/>
      <c r="J9" s="40"/>
      <c r="K9" s="40"/>
      <c r="L9" s="14"/>
      <c r="M9" s="46"/>
      <c r="N9" s="16"/>
      <c r="O9" s="15"/>
      <c r="P9" s="17"/>
      <c r="Q9" s="17"/>
      <c r="R9" s="18"/>
    </row>
    <row r="10" spans="1:18" ht="30" customHeight="1" x14ac:dyDescent="0.45">
      <c r="B10" s="45"/>
      <c r="C10" s="9"/>
      <c r="D10" s="10"/>
      <c r="E10" s="10"/>
      <c r="F10" s="11"/>
      <c r="G10" s="12"/>
      <c r="H10" s="12"/>
      <c r="I10" s="40"/>
      <c r="J10" s="40"/>
      <c r="K10" s="40"/>
      <c r="L10" s="14"/>
      <c r="M10" s="46"/>
      <c r="N10" s="16"/>
      <c r="O10" s="15"/>
      <c r="P10" s="17"/>
      <c r="Q10" s="17"/>
      <c r="R10" s="18"/>
    </row>
    <row r="11" spans="1:18" ht="30" customHeight="1" x14ac:dyDescent="0.45">
      <c r="B11" s="45"/>
      <c r="C11" s="9"/>
      <c r="D11" s="10"/>
      <c r="E11" s="10"/>
      <c r="F11" s="11"/>
      <c r="G11" s="12"/>
      <c r="H11" s="12"/>
      <c r="I11" s="40"/>
      <c r="J11" s="40"/>
      <c r="K11" s="40"/>
      <c r="L11" s="14"/>
      <c r="M11" s="46"/>
      <c r="N11" s="16"/>
      <c r="O11" s="15"/>
      <c r="P11" s="17"/>
      <c r="Q11" s="17"/>
      <c r="R11" s="18"/>
    </row>
    <row r="12" spans="1:18" ht="30" customHeight="1" x14ac:dyDescent="0.45">
      <c r="B12" s="45"/>
      <c r="C12" s="9" t="s">
        <v>14</v>
      </c>
      <c r="D12" s="10" t="s">
        <v>30</v>
      </c>
      <c r="E12" s="10" t="s">
        <v>27</v>
      </c>
      <c r="F12" s="11" t="s">
        <v>1894</v>
      </c>
      <c r="G12" s="12" t="s">
        <v>1931</v>
      </c>
      <c r="H12" s="12" t="s">
        <v>1932</v>
      </c>
      <c r="I12" s="40" t="s">
        <v>41</v>
      </c>
      <c r="J12" s="40" t="s">
        <v>41</v>
      </c>
      <c r="K12" s="40" t="s">
        <v>41</v>
      </c>
      <c r="L12" s="14" t="s">
        <v>1933</v>
      </c>
      <c r="M12" s="46" t="s">
        <v>29</v>
      </c>
      <c r="N12" s="16"/>
      <c r="O12" s="15"/>
      <c r="P12" s="17"/>
      <c r="Q12" s="17"/>
      <c r="R12" s="18"/>
    </row>
    <row r="13" spans="1:18" ht="30" customHeight="1" x14ac:dyDescent="0.45">
      <c r="B13" s="45"/>
      <c r="C13" s="9" t="s">
        <v>15</v>
      </c>
      <c r="D13" s="10" t="s">
        <v>30</v>
      </c>
      <c r="E13" s="10" t="s">
        <v>27</v>
      </c>
      <c r="F13" s="11" t="s">
        <v>1909</v>
      </c>
      <c r="G13" s="12" t="s">
        <v>1918</v>
      </c>
      <c r="H13" s="12" t="s">
        <v>1919</v>
      </c>
      <c r="I13" s="40" t="s">
        <v>41</v>
      </c>
      <c r="J13" s="40" t="s">
        <v>41</v>
      </c>
      <c r="K13" s="40" t="s">
        <v>41</v>
      </c>
      <c r="L13" s="14" t="s">
        <v>1935</v>
      </c>
      <c r="M13" s="46" t="s">
        <v>29</v>
      </c>
      <c r="N13" s="16"/>
      <c r="O13" s="15"/>
      <c r="P13" s="17"/>
      <c r="Q13" s="17"/>
      <c r="R13" s="18"/>
    </row>
    <row r="14" spans="1:18" ht="30" customHeight="1" x14ac:dyDescent="0.45">
      <c r="B14" s="45"/>
      <c r="C14" s="9" t="s">
        <v>16</v>
      </c>
      <c r="D14" s="10" t="s">
        <v>30</v>
      </c>
      <c r="E14" s="10" t="s">
        <v>27</v>
      </c>
      <c r="F14" s="11" t="s">
        <v>1894</v>
      </c>
      <c r="G14" s="12" t="s">
        <v>1920</v>
      </c>
      <c r="H14" s="12" t="s">
        <v>1573</v>
      </c>
      <c r="I14" s="40" t="s">
        <v>41</v>
      </c>
      <c r="J14" s="40" t="s">
        <v>41</v>
      </c>
      <c r="K14" s="40" t="s">
        <v>41</v>
      </c>
      <c r="L14" s="14" t="s">
        <v>1921</v>
      </c>
      <c r="M14" s="46" t="s">
        <v>29</v>
      </c>
      <c r="N14" s="16"/>
      <c r="O14" s="15"/>
      <c r="P14" s="17"/>
      <c r="Q14" s="17"/>
      <c r="R14" s="18"/>
    </row>
    <row r="15" spans="1:18" ht="30" customHeight="1" x14ac:dyDescent="0.45">
      <c r="B15" s="45"/>
      <c r="C15" s="9" t="s">
        <v>17</v>
      </c>
      <c r="D15" s="10" t="s">
        <v>30</v>
      </c>
      <c r="E15" s="10" t="s">
        <v>27</v>
      </c>
      <c r="F15" s="11" t="s">
        <v>1897</v>
      </c>
      <c r="G15" s="12" t="s">
        <v>1934</v>
      </c>
      <c r="H15" s="12" t="s">
        <v>486</v>
      </c>
      <c r="I15" s="40">
        <v>120</v>
      </c>
      <c r="J15" s="40" t="s">
        <v>41</v>
      </c>
      <c r="K15" s="40" t="s">
        <v>41</v>
      </c>
      <c r="L15" s="14" t="s">
        <v>1936</v>
      </c>
      <c r="M15" s="46" t="s">
        <v>29</v>
      </c>
      <c r="N15" s="16"/>
      <c r="O15" s="15"/>
      <c r="P15" s="17"/>
      <c r="Q15" s="17"/>
      <c r="R15" s="18"/>
    </row>
    <row r="16" spans="1:18" ht="30" customHeight="1" x14ac:dyDescent="0.45">
      <c r="B16" s="45"/>
      <c r="C16" s="9"/>
      <c r="D16" s="10"/>
      <c r="E16" s="10"/>
      <c r="F16" s="11"/>
      <c r="G16" s="12"/>
      <c r="H16" s="12"/>
      <c r="I16" s="40"/>
      <c r="J16" s="15"/>
      <c r="K16" s="15"/>
      <c r="L16" s="14"/>
      <c r="M16" s="46"/>
      <c r="N16" s="16"/>
      <c r="O16" s="15"/>
      <c r="P16" s="17"/>
      <c r="Q16" s="17"/>
      <c r="R16" s="18"/>
    </row>
    <row r="17" spans="2:18" ht="30" customHeight="1" x14ac:dyDescent="0.45">
      <c r="B17" s="45"/>
      <c r="C17" s="9" t="s">
        <v>15</v>
      </c>
      <c r="D17" s="10" t="s">
        <v>30</v>
      </c>
      <c r="E17" s="10" t="s">
        <v>27</v>
      </c>
      <c r="F17" s="11" t="s">
        <v>1849</v>
      </c>
      <c r="G17" s="12" t="s">
        <v>1850</v>
      </c>
      <c r="H17" s="12" t="s">
        <v>1851</v>
      </c>
      <c r="I17" s="40">
        <v>300</v>
      </c>
      <c r="J17" s="15">
        <v>3.4</v>
      </c>
      <c r="K17" s="15">
        <v>59.7</v>
      </c>
      <c r="L17" s="14" t="s">
        <v>1886</v>
      </c>
      <c r="M17" s="46" t="s">
        <v>29</v>
      </c>
      <c r="N17" s="16"/>
      <c r="O17" s="15"/>
      <c r="P17" s="17"/>
      <c r="Q17" s="17"/>
      <c r="R17" s="18"/>
    </row>
    <row r="18" spans="2:18" ht="30" customHeight="1" x14ac:dyDescent="0.45">
      <c r="B18" s="45"/>
      <c r="C18" s="9" t="s">
        <v>15</v>
      </c>
      <c r="D18" s="10" t="s">
        <v>30</v>
      </c>
      <c r="E18" s="10" t="s">
        <v>1381</v>
      </c>
      <c r="F18" s="11" t="s">
        <v>1852</v>
      </c>
      <c r="G18" s="12" t="s">
        <v>1853</v>
      </c>
      <c r="H18" s="12" t="s">
        <v>199</v>
      </c>
      <c r="I18" s="40" t="s">
        <v>41</v>
      </c>
      <c r="J18" s="15" t="s">
        <v>41</v>
      </c>
      <c r="K18" s="15" t="s">
        <v>41</v>
      </c>
      <c r="L18" s="14" t="s">
        <v>1887</v>
      </c>
      <c r="M18" s="46" t="s">
        <v>29</v>
      </c>
      <c r="N18" s="16"/>
      <c r="O18" s="15"/>
      <c r="P18" s="17"/>
      <c r="Q18" s="17"/>
      <c r="R18" s="18"/>
    </row>
    <row r="19" spans="2:18" ht="30" customHeight="1" x14ac:dyDescent="0.45">
      <c r="B19" s="45"/>
      <c r="C19" s="9" t="s">
        <v>12</v>
      </c>
      <c r="D19" s="10" t="s">
        <v>110</v>
      </c>
      <c r="E19" s="10" t="s">
        <v>27</v>
      </c>
      <c r="F19" s="11">
        <v>46189</v>
      </c>
      <c r="G19" s="12" t="s">
        <v>1861</v>
      </c>
      <c r="H19" s="12" t="s">
        <v>1862</v>
      </c>
      <c r="I19" s="15" t="s">
        <v>41</v>
      </c>
      <c r="J19" s="15" t="s">
        <v>41</v>
      </c>
      <c r="K19" s="15" t="s">
        <v>41</v>
      </c>
      <c r="L19" s="14" t="s">
        <v>1889</v>
      </c>
      <c r="M19" s="46" t="s">
        <v>29</v>
      </c>
      <c r="N19" s="16"/>
      <c r="O19" s="15"/>
      <c r="P19" s="17"/>
      <c r="Q19" s="17"/>
      <c r="R19" s="18"/>
    </row>
    <row r="20" spans="2:18" ht="30" customHeight="1" x14ac:dyDescent="0.45">
      <c r="B20" s="45"/>
      <c r="C20" s="9" t="s">
        <v>10</v>
      </c>
      <c r="D20" s="10" t="s">
        <v>30</v>
      </c>
      <c r="E20" s="10" t="s">
        <v>27</v>
      </c>
      <c r="F20" s="11">
        <v>46188</v>
      </c>
      <c r="G20" s="12" t="s">
        <v>143</v>
      </c>
      <c r="H20" s="12" t="s">
        <v>1890</v>
      </c>
      <c r="I20" s="40">
        <v>2750</v>
      </c>
      <c r="J20" s="15">
        <v>2.2000000000000002</v>
      </c>
      <c r="K20" s="15">
        <v>8.5</v>
      </c>
      <c r="L20" s="14" t="s">
        <v>1891</v>
      </c>
      <c r="M20" s="46"/>
      <c r="N20" s="16"/>
      <c r="O20" s="15"/>
      <c r="P20" s="17"/>
      <c r="Q20" s="17"/>
      <c r="R20" s="18"/>
    </row>
    <row r="21" spans="2:18" ht="30" customHeight="1" x14ac:dyDescent="0.45">
      <c r="B21" s="45"/>
      <c r="C21" s="9" t="s">
        <v>10</v>
      </c>
      <c r="D21" s="10" t="s">
        <v>30</v>
      </c>
      <c r="E21" s="10" t="s">
        <v>27</v>
      </c>
      <c r="F21" s="11" t="s">
        <v>1854</v>
      </c>
      <c r="G21" s="12" t="s">
        <v>1855</v>
      </c>
      <c r="H21" s="12" t="s">
        <v>1856</v>
      </c>
      <c r="I21" s="40">
        <v>625</v>
      </c>
      <c r="J21" s="15">
        <v>3.1</v>
      </c>
      <c r="K21" s="15">
        <v>11.1</v>
      </c>
      <c r="L21" s="14" t="s">
        <v>1888</v>
      </c>
      <c r="M21" s="46" t="s">
        <v>29</v>
      </c>
      <c r="N21" s="16"/>
      <c r="O21" s="15"/>
      <c r="P21" s="17"/>
      <c r="Q21" s="17"/>
      <c r="R21" s="18"/>
    </row>
    <row r="22" spans="2:18" ht="30" customHeight="1" x14ac:dyDescent="0.45">
      <c r="B22" s="45"/>
      <c r="C22" s="9" t="s">
        <v>19</v>
      </c>
      <c r="D22" s="10" t="s">
        <v>30</v>
      </c>
      <c r="E22" s="10" t="s">
        <v>27</v>
      </c>
      <c r="F22" s="11" t="s">
        <v>1857</v>
      </c>
      <c r="G22" s="12" t="s">
        <v>1858</v>
      </c>
      <c r="H22" s="12" t="s">
        <v>1859</v>
      </c>
      <c r="I22" s="40">
        <v>53</v>
      </c>
      <c r="J22" s="15" t="s">
        <v>41</v>
      </c>
      <c r="K22" s="15" t="s">
        <v>41</v>
      </c>
      <c r="L22" s="14" t="s">
        <v>1860</v>
      </c>
      <c r="M22" s="46" t="s">
        <v>29</v>
      </c>
      <c r="N22" s="16"/>
      <c r="O22" s="15"/>
      <c r="P22" s="17"/>
      <c r="Q22" s="17"/>
      <c r="R22" s="18"/>
    </row>
    <row r="23" spans="2:18" ht="30" customHeight="1" x14ac:dyDescent="0.45">
      <c r="B23" s="45" t="s">
        <v>1842</v>
      </c>
      <c r="C23" s="9" t="s">
        <v>14</v>
      </c>
      <c r="D23" s="10" t="s">
        <v>219</v>
      </c>
      <c r="E23" s="10" t="s">
        <v>27</v>
      </c>
      <c r="F23" s="11" t="s">
        <v>1799</v>
      </c>
      <c r="G23" s="12" t="s">
        <v>1800</v>
      </c>
      <c r="H23" s="12" t="s">
        <v>1801</v>
      </c>
      <c r="I23" s="15" t="s">
        <v>41</v>
      </c>
      <c r="J23" s="15" t="s">
        <v>41</v>
      </c>
      <c r="K23" s="15" t="s">
        <v>41</v>
      </c>
      <c r="L23" s="14" t="s">
        <v>1846</v>
      </c>
      <c r="M23" s="46" t="s">
        <v>29</v>
      </c>
      <c r="N23" s="16"/>
      <c r="O23" s="15"/>
      <c r="P23" s="17"/>
      <c r="Q23" s="17"/>
      <c r="R23" s="18"/>
    </row>
    <row r="24" spans="2:18" ht="30" customHeight="1" x14ac:dyDescent="0.45">
      <c r="B24" s="45" t="s">
        <v>1842</v>
      </c>
      <c r="C24" s="9" t="s">
        <v>16</v>
      </c>
      <c r="D24" s="10" t="s">
        <v>30</v>
      </c>
      <c r="E24" s="10" t="s">
        <v>27</v>
      </c>
      <c r="F24" s="11" t="s">
        <v>1799</v>
      </c>
      <c r="G24" s="12" t="s">
        <v>1802</v>
      </c>
      <c r="H24" s="12" t="s">
        <v>1803</v>
      </c>
      <c r="I24" s="15" t="s">
        <v>41</v>
      </c>
      <c r="J24" s="15" t="s">
        <v>41</v>
      </c>
      <c r="K24" s="15" t="s">
        <v>41</v>
      </c>
      <c r="L24" s="14" t="s">
        <v>1804</v>
      </c>
      <c r="M24" s="46" t="s">
        <v>29</v>
      </c>
      <c r="N24" s="16"/>
      <c r="O24" s="15"/>
      <c r="P24" s="17"/>
      <c r="Q24" s="17"/>
      <c r="R24" s="18"/>
    </row>
    <row r="25" spans="2:18" ht="30" customHeight="1" x14ac:dyDescent="0.45">
      <c r="B25" s="45" t="s">
        <v>1842</v>
      </c>
      <c r="C25" s="9" t="s">
        <v>12</v>
      </c>
      <c r="D25" s="10" t="s">
        <v>30</v>
      </c>
      <c r="E25" s="10" t="s">
        <v>27</v>
      </c>
      <c r="F25" s="11" t="s">
        <v>1805</v>
      </c>
      <c r="G25" s="12" t="s">
        <v>1806</v>
      </c>
      <c r="H25" s="12" t="s">
        <v>1473</v>
      </c>
      <c r="I25" s="40">
        <v>335</v>
      </c>
      <c r="J25" s="15" t="s">
        <v>41</v>
      </c>
      <c r="K25" s="15" t="s">
        <v>41</v>
      </c>
      <c r="L25" s="14" t="s">
        <v>1847</v>
      </c>
      <c r="M25" s="46" t="s">
        <v>29</v>
      </c>
      <c r="N25" s="16"/>
      <c r="O25" s="15"/>
      <c r="P25" s="17"/>
      <c r="Q25" s="17"/>
      <c r="R25" s="18"/>
    </row>
    <row r="26" spans="2:18" ht="30" customHeight="1" x14ac:dyDescent="0.45">
      <c r="B26" s="45" t="s">
        <v>1842</v>
      </c>
      <c r="C26" s="9" t="s">
        <v>12</v>
      </c>
      <c r="D26" s="10" t="s">
        <v>110</v>
      </c>
      <c r="E26" s="10" t="s">
        <v>27</v>
      </c>
      <c r="F26" s="11" t="s">
        <v>1799</v>
      </c>
      <c r="G26" s="12" t="s">
        <v>1807</v>
      </c>
      <c r="H26" s="12" t="s">
        <v>1808</v>
      </c>
      <c r="I26" s="15" t="s">
        <v>41</v>
      </c>
      <c r="J26" s="15" t="s">
        <v>41</v>
      </c>
      <c r="K26" s="15" t="s">
        <v>41</v>
      </c>
      <c r="L26" s="14" t="s">
        <v>1840</v>
      </c>
      <c r="M26" s="46" t="s">
        <v>29</v>
      </c>
      <c r="N26" s="16"/>
      <c r="O26" s="15"/>
      <c r="P26" s="17"/>
      <c r="Q26" s="17"/>
      <c r="R26" s="18"/>
    </row>
    <row r="27" spans="2:18" ht="30" customHeight="1" x14ac:dyDescent="0.45">
      <c r="B27" s="45" t="s">
        <v>1842</v>
      </c>
      <c r="C27" s="9" t="s">
        <v>17</v>
      </c>
      <c r="D27" s="10" t="s">
        <v>30</v>
      </c>
      <c r="E27" s="10" t="s">
        <v>27</v>
      </c>
      <c r="F27" s="11" t="s">
        <v>1805</v>
      </c>
      <c r="G27" s="12" t="s">
        <v>1809</v>
      </c>
      <c r="H27" s="12" t="s">
        <v>1810</v>
      </c>
      <c r="I27" s="40">
        <v>10</v>
      </c>
      <c r="J27" s="15" t="s">
        <v>41</v>
      </c>
      <c r="K27" s="15" t="s">
        <v>41</v>
      </c>
      <c r="L27" s="14" t="s">
        <v>1841</v>
      </c>
      <c r="M27" s="46" t="s">
        <v>29</v>
      </c>
      <c r="N27" s="16"/>
      <c r="O27" s="15"/>
      <c r="P27" s="17"/>
      <c r="Q27" s="17"/>
      <c r="R27" s="18"/>
    </row>
    <row r="28" spans="2:18" ht="30" customHeight="1" x14ac:dyDescent="0.45">
      <c r="B28" s="45" t="s">
        <v>1842</v>
      </c>
      <c r="C28" s="9" t="s">
        <v>17</v>
      </c>
      <c r="D28" s="10" t="s">
        <v>30</v>
      </c>
      <c r="E28" s="10" t="s">
        <v>27</v>
      </c>
      <c r="F28" s="11" t="s">
        <v>1811</v>
      </c>
      <c r="G28" s="12" t="s">
        <v>1812</v>
      </c>
      <c r="H28" s="12" t="s">
        <v>1813</v>
      </c>
      <c r="I28" s="15" t="s">
        <v>41</v>
      </c>
      <c r="J28" s="15" t="s">
        <v>41</v>
      </c>
      <c r="K28" s="15" t="s">
        <v>41</v>
      </c>
      <c r="L28" s="14" t="s">
        <v>1848</v>
      </c>
      <c r="M28" s="46" t="s">
        <v>29</v>
      </c>
      <c r="N28" s="16"/>
      <c r="O28" s="15"/>
      <c r="P28" s="17"/>
      <c r="Q28" s="17"/>
      <c r="R28" s="18"/>
    </row>
    <row r="29" spans="2:18" ht="30" customHeight="1" x14ac:dyDescent="0.45">
      <c r="B29" s="45" t="s">
        <v>1842</v>
      </c>
      <c r="C29" s="9" t="s">
        <v>19</v>
      </c>
      <c r="D29" s="10" t="s">
        <v>30</v>
      </c>
      <c r="E29" s="10" t="s">
        <v>27</v>
      </c>
      <c r="F29" s="11" t="s">
        <v>1811</v>
      </c>
      <c r="G29" s="12" t="s">
        <v>1815</v>
      </c>
      <c r="H29" s="12" t="s">
        <v>1816</v>
      </c>
      <c r="I29" s="40">
        <v>717</v>
      </c>
      <c r="J29" s="15" t="s">
        <v>41</v>
      </c>
      <c r="K29" s="15" t="s">
        <v>41</v>
      </c>
      <c r="L29" s="14" t="s">
        <v>1817</v>
      </c>
      <c r="M29" s="46" t="s">
        <v>29</v>
      </c>
      <c r="N29" s="16"/>
      <c r="O29" s="15"/>
      <c r="P29" s="17"/>
      <c r="Q29" s="17"/>
      <c r="R29" s="18"/>
    </row>
    <row r="30" spans="2:18" ht="30" customHeight="1" x14ac:dyDescent="0.45">
      <c r="B30" s="45"/>
      <c r="C30" s="9"/>
      <c r="D30" s="10"/>
      <c r="E30" s="10"/>
      <c r="F30" s="11"/>
      <c r="G30" s="12"/>
      <c r="H30" s="12"/>
      <c r="I30" s="40"/>
      <c r="J30" s="15"/>
      <c r="K30" s="15"/>
      <c r="L30" s="14"/>
      <c r="M30" s="46"/>
      <c r="N30" s="16"/>
      <c r="O30" s="15"/>
      <c r="P30" s="17"/>
      <c r="Q30" s="17"/>
      <c r="R30" s="18"/>
    </row>
    <row r="31" spans="2:18" ht="30" customHeight="1" x14ac:dyDescent="0.45">
      <c r="B31" s="45" t="s">
        <v>1773</v>
      </c>
      <c r="C31" s="9" t="s">
        <v>14</v>
      </c>
      <c r="D31" s="10" t="s">
        <v>52</v>
      </c>
      <c r="E31" s="10" t="s">
        <v>27</v>
      </c>
      <c r="F31" s="11">
        <v>46177</v>
      </c>
      <c r="G31" s="12" t="s">
        <v>1796</v>
      </c>
      <c r="H31" s="12" t="s">
        <v>1797</v>
      </c>
      <c r="I31" s="15" t="s">
        <v>41</v>
      </c>
      <c r="J31" s="15" t="s">
        <v>41</v>
      </c>
      <c r="K31" s="15" t="s">
        <v>41</v>
      </c>
      <c r="L31" s="14" t="s">
        <v>1798</v>
      </c>
      <c r="M31" s="46" t="s">
        <v>29</v>
      </c>
      <c r="N31" s="16"/>
      <c r="O31" s="15"/>
      <c r="P31" s="17"/>
      <c r="Q31" s="17"/>
      <c r="R31" s="18"/>
    </row>
    <row r="32" spans="2:18" ht="30" customHeight="1" x14ac:dyDescent="0.45">
      <c r="B32" s="45" t="s">
        <v>1773</v>
      </c>
      <c r="C32" s="10" t="s">
        <v>15</v>
      </c>
      <c r="D32" s="10" t="s">
        <v>30</v>
      </c>
      <c r="E32" s="10" t="s">
        <v>27</v>
      </c>
      <c r="F32" s="11">
        <v>46176</v>
      </c>
      <c r="G32" s="12" t="s">
        <v>1774</v>
      </c>
      <c r="H32" s="12" t="s">
        <v>1775</v>
      </c>
      <c r="I32" s="15" t="s">
        <v>41</v>
      </c>
      <c r="J32" s="15" t="s">
        <v>41</v>
      </c>
      <c r="K32" s="15" t="s">
        <v>41</v>
      </c>
      <c r="L32" s="14" t="s">
        <v>1776</v>
      </c>
      <c r="M32" s="46" t="s">
        <v>29</v>
      </c>
      <c r="N32" s="16"/>
      <c r="O32" s="15"/>
      <c r="P32" s="17"/>
      <c r="Q32" s="17"/>
      <c r="R32" s="18"/>
    </row>
    <row r="33" spans="2:18" ht="30" customHeight="1" x14ac:dyDescent="0.45">
      <c r="B33" s="45" t="s">
        <v>1773</v>
      </c>
      <c r="C33" s="10" t="s">
        <v>16</v>
      </c>
      <c r="D33" s="10" t="s">
        <v>30</v>
      </c>
      <c r="E33" s="10" t="s">
        <v>27</v>
      </c>
      <c r="F33" s="11">
        <v>46174</v>
      </c>
      <c r="G33" s="12" t="s">
        <v>1793</v>
      </c>
      <c r="H33" s="12" t="s">
        <v>1794</v>
      </c>
      <c r="I33" s="15" t="s">
        <v>41</v>
      </c>
      <c r="J33" s="15" t="s">
        <v>41</v>
      </c>
      <c r="K33" s="15" t="s">
        <v>41</v>
      </c>
      <c r="L33" s="14" t="s">
        <v>1795</v>
      </c>
      <c r="M33" s="46" t="s">
        <v>29</v>
      </c>
      <c r="N33" s="16"/>
      <c r="O33" s="15"/>
      <c r="P33" s="17"/>
      <c r="Q33" s="17"/>
      <c r="R33" s="18"/>
    </row>
    <row r="34" spans="2:18" ht="30" customHeight="1" x14ac:dyDescent="0.45">
      <c r="B34" s="45" t="s">
        <v>1773</v>
      </c>
      <c r="C34" s="10" t="s">
        <v>12</v>
      </c>
      <c r="D34" s="10" t="s">
        <v>30</v>
      </c>
      <c r="E34" s="10" t="s">
        <v>27</v>
      </c>
      <c r="F34" s="11">
        <v>46177</v>
      </c>
      <c r="G34" s="12" t="s">
        <v>1762</v>
      </c>
      <c r="H34" s="12" t="s">
        <v>164</v>
      </c>
      <c r="I34" s="15" t="s">
        <v>41</v>
      </c>
      <c r="J34" s="15" t="s">
        <v>41</v>
      </c>
      <c r="K34" s="15" t="s">
        <v>41</v>
      </c>
      <c r="L34" s="14" t="s">
        <v>1777</v>
      </c>
      <c r="M34" s="46" t="s">
        <v>29</v>
      </c>
      <c r="N34" s="16"/>
      <c r="O34" s="15"/>
      <c r="P34" s="17"/>
      <c r="Q34" s="17"/>
      <c r="R34" s="18"/>
    </row>
    <row r="35" spans="2:18" ht="30" customHeight="1" x14ac:dyDescent="0.45">
      <c r="B35" s="45" t="s">
        <v>1773</v>
      </c>
      <c r="C35" s="10" t="s">
        <v>17</v>
      </c>
      <c r="D35" s="10" t="s">
        <v>30</v>
      </c>
      <c r="E35" s="10" t="s">
        <v>27</v>
      </c>
      <c r="F35" s="11">
        <v>46177</v>
      </c>
      <c r="G35" s="12" t="s">
        <v>1764</v>
      </c>
      <c r="H35" s="12" t="s">
        <v>1765</v>
      </c>
      <c r="I35" s="15" t="s">
        <v>41</v>
      </c>
      <c r="J35" s="15" t="s">
        <v>41</v>
      </c>
      <c r="K35" s="15" t="s">
        <v>41</v>
      </c>
      <c r="L35" s="14" t="s">
        <v>1778</v>
      </c>
      <c r="M35" s="46" t="s">
        <v>29</v>
      </c>
      <c r="N35" s="16"/>
      <c r="O35" s="15"/>
      <c r="P35" s="17"/>
      <c r="Q35" s="17"/>
      <c r="R35" s="18"/>
    </row>
    <row r="36" spans="2:18" ht="30" customHeight="1" x14ac:dyDescent="0.45">
      <c r="B36" s="45" t="s">
        <v>1773</v>
      </c>
      <c r="C36" s="10" t="s">
        <v>10</v>
      </c>
      <c r="D36" s="10" t="s">
        <v>30</v>
      </c>
      <c r="E36" s="10" t="s">
        <v>27</v>
      </c>
      <c r="F36" s="11">
        <v>46177</v>
      </c>
      <c r="G36" s="12" t="s">
        <v>1767</v>
      </c>
      <c r="H36" s="12" t="s">
        <v>1694</v>
      </c>
      <c r="I36" s="15" t="s">
        <v>41</v>
      </c>
      <c r="J36" s="15" t="s">
        <v>41</v>
      </c>
      <c r="K36" s="15" t="s">
        <v>41</v>
      </c>
      <c r="L36" s="14" t="s">
        <v>1779</v>
      </c>
      <c r="M36" s="46" t="s">
        <v>29</v>
      </c>
      <c r="N36" s="16"/>
      <c r="O36" s="15"/>
      <c r="P36" s="17"/>
      <c r="Q36" s="17"/>
      <c r="R36" s="18"/>
    </row>
    <row r="37" spans="2:18" ht="30" customHeight="1" x14ac:dyDescent="0.45">
      <c r="B37" s="45" t="s">
        <v>1773</v>
      </c>
      <c r="C37" s="10" t="s">
        <v>10</v>
      </c>
      <c r="D37" s="10" t="s">
        <v>110</v>
      </c>
      <c r="E37" s="10" t="s">
        <v>27</v>
      </c>
      <c r="F37" s="11">
        <v>46175</v>
      </c>
      <c r="G37" s="12" t="s">
        <v>1768</v>
      </c>
      <c r="H37" s="12" t="s">
        <v>1769</v>
      </c>
      <c r="I37" s="15" t="s">
        <v>41</v>
      </c>
      <c r="J37" s="15" t="s">
        <v>41</v>
      </c>
      <c r="K37" s="15" t="s">
        <v>41</v>
      </c>
      <c r="L37" s="14" t="s">
        <v>1780</v>
      </c>
      <c r="M37" s="46" t="s">
        <v>29</v>
      </c>
      <c r="N37" s="16"/>
      <c r="O37" s="15"/>
      <c r="P37" s="17"/>
      <c r="Q37" s="17"/>
      <c r="R37" s="18"/>
    </row>
    <row r="38" spans="2:18" ht="30" customHeight="1" x14ac:dyDescent="0.45">
      <c r="B38" s="45" t="s">
        <v>1773</v>
      </c>
      <c r="C38" s="10" t="s">
        <v>19</v>
      </c>
      <c r="D38" s="10" t="s">
        <v>30</v>
      </c>
      <c r="E38" s="10" t="s">
        <v>27</v>
      </c>
      <c r="F38" s="11">
        <v>46178</v>
      </c>
      <c r="G38" s="12" t="s">
        <v>1781</v>
      </c>
      <c r="H38" s="12" t="s">
        <v>1771</v>
      </c>
      <c r="I38" s="15"/>
      <c r="J38" s="15"/>
      <c r="K38" s="15"/>
      <c r="L38" s="14" t="s">
        <v>1782</v>
      </c>
      <c r="M38" s="46" t="s">
        <v>1772</v>
      </c>
      <c r="N38" s="16"/>
      <c r="O38" s="15"/>
      <c r="P38" s="17"/>
      <c r="Q38" s="17"/>
      <c r="R38" s="18"/>
    </row>
    <row r="39" spans="2:18" ht="30" customHeight="1" x14ac:dyDescent="0.45">
      <c r="B39" s="45"/>
      <c r="C39" s="10"/>
      <c r="D39" s="10"/>
      <c r="E39" s="10"/>
      <c r="F39" s="11"/>
      <c r="G39" s="12"/>
      <c r="H39" s="12"/>
      <c r="I39" s="15"/>
      <c r="J39" s="15"/>
      <c r="K39" s="15"/>
      <c r="L39" s="14"/>
      <c r="M39" s="46"/>
      <c r="N39" s="16"/>
      <c r="O39" s="15"/>
      <c r="P39" s="17"/>
      <c r="Q39" s="17"/>
      <c r="R39" s="18"/>
    </row>
    <row r="40" spans="2:18" ht="30" customHeight="1" x14ac:dyDescent="0.45">
      <c r="B40" s="45" t="s">
        <v>1701</v>
      </c>
      <c r="C40" s="10" t="s">
        <v>16</v>
      </c>
      <c r="D40" s="10" t="s">
        <v>110</v>
      </c>
      <c r="E40" s="10" t="s">
        <v>27</v>
      </c>
      <c r="F40" s="11">
        <v>46170</v>
      </c>
      <c r="G40" s="12" t="s">
        <v>1702</v>
      </c>
      <c r="H40" s="12" t="s">
        <v>1703</v>
      </c>
      <c r="I40" s="15" t="s">
        <v>41</v>
      </c>
      <c r="J40" s="15" t="s">
        <v>41</v>
      </c>
      <c r="K40" s="15" t="s">
        <v>41</v>
      </c>
      <c r="L40" s="14" t="s">
        <v>1704</v>
      </c>
      <c r="M40" s="46" t="s">
        <v>29</v>
      </c>
      <c r="N40" s="16"/>
      <c r="O40" s="15"/>
      <c r="P40" s="17"/>
      <c r="Q40" s="17"/>
      <c r="R40" s="18"/>
    </row>
    <row r="41" spans="2:18" ht="30" customHeight="1" x14ac:dyDescent="0.45">
      <c r="B41" s="45" t="s">
        <v>1701</v>
      </c>
      <c r="C41" s="10" t="s">
        <v>16</v>
      </c>
      <c r="D41" s="10" t="s">
        <v>110</v>
      </c>
      <c r="E41" s="10" t="s">
        <v>27</v>
      </c>
      <c r="F41" s="11">
        <v>46168</v>
      </c>
      <c r="G41" s="12" t="s">
        <v>1705</v>
      </c>
      <c r="H41" s="12" t="s">
        <v>1706</v>
      </c>
      <c r="I41" s="15" t="s">
        <v>41</v>
      </c>
      <c r="J41" s="15" t="s">
        <v>41</v>
      </c>
      <c r="K41" s="15" t="s">
        <v>41</v>
      </c>
      <c r="L41" s="14" t="s">
        <v>1707</v>
      </c>
      <c r="M41" s="46" t="s">
        <v>29</v>
      </c>
      <c r="N41" s="16"/>
      <c r="O41" s="15"/>
      <c r="P41" s="17"/>
      <c r="Q41" s="17"/>
      <c r="R41" s="18"/>
    </row>
    <row r="42" spans="2:18" ht="30" customHeight="1" x14ac:dyDescent="0.45">
      <c r="B42" s="45" t="s">
        <v>1701</v>
      </c>
      <c r="C42" s="10" t="s">
        <v>12</v>
      </c>
      <c r="D42" s="10" t="s">
        <v>144</v>
      </c>
      <c r="E42" s="10" t="s">
        <v>27</v>
      </c>
      <c r="F42" s="11">
        <v>46170</v>
      </c>
      <c r="G42" s="12" t="s">
        <v>1708</v>
      </c>
      <c r="H42" s="12" t="s">
        <v>1709</v>
      </c>
      <c r="I42" s="15" t="s">
        <v>41</v>
      </c>
      <c r="J42" s="15" t="s">
        <v>41</v>
      </c>
      <c r="K42" s="15" t="s">
        <v>41</v>
      </c>
      <c r="L42" s="14" t="s">
        <v>1710</v>
      </c>
      <c r="M42" s="46" t="s">
        <v>29</v>
      </c>
      <c r="N42" s="16"/>
      <c r="O42" s="15"/>
      <c r="P42" s="17"/>
      <c r="Q42" s="17"/>
      <c r="R42" s="18"/>
    </row>
    <row r="43" spans="2:18" ht="30" customHeight="1" x14ac:dyDescent="0.45">
      <c r="B43" s="45" t="s">
        <v>1701</v>
      </c>
      <c r="C43" s="10" t="s">
        <v>19</v>
      </c>
      <c r="D43" s="10" t="s">
        <v>30</v>
      </c>
      <c r="E43" s="10" t="s">
        <v>27</v>
      </c>
      <c r="F43" s="11">
        <v>46171</v>
      </c>
      <c r="G43" s="12" t="s">
        <v>1712</v>
      </c>
      <c r="H43" s="12" t="s">
        <v>1711</v>
      </c>
      <c r="I43" s="40">
        <v>800</v>
      </c>
      <c r="J43" s="15" t="s">
        <v>41</v>
      </c>
      <c r="K43" s="15" t="s">
        <v>41</v>
      </c>
      <c r="L43" s="14" t="s">
        <v>1713</v>
      </c>
      <c r="M43" s="46" t="s">
        <v>29</v>
      </c>
      <c r="N43" s="16"/>
      <c r="O43" s="15"/>
      <c r="P43" s="17"/>
      <c r="Q43" s="17"/>
      <c r="R43" s="18"/>
    </row>
    <row r="44" spans="2:18" ht="30" customHeight="1" x14ac:dyDescent="0.45">
      <c r="B44" s="45" t="s">
        <v>1657</v>
      </c>
      <c r="C44" s="9" t="s">
        <v>15</v>
      </c>
      <c r="D44" s="10" t="s">
        <v>30</v>
      </c>
      <c r="E44" s="10" t="s">
        <v>27</v>
      </c>
      <c r="F44" s="11">
        <v>46164</v>
      </c>
      <c r="G44" s="12" t="s">
        <v>1700</v>
      </c>
      <c r="H44" s="12" t="s">
        <v>1626</v>
      </c>
      <c r="I44" s="15" t="s">
        <v>41</v>
      </c>
      <c r="J44" s="15" t="s">
        <v>41</v>
      </c>
      <c r="K44" s="15" t="s">
        <v>41</v>
      </c>
      <c r="L44" s="14" t="s">
        <v>1685</v>
      </c>
      <c r="M44" s="46" t="s">
        <v>29</v>
      </c>
      <c r="N44" s="16"/>
      <c r="O44" s="15"/>
      <c r="P44" s="17"/>
      <c r="Q44" s="17"/>
      <c r="R44" s="18"/>
    </row>
    <row r="45" spans="2:18" ht="30" customHeight="1" x14ac:dyDescent="0.45">
      <c r="B45" s="45" t="s">
        <v>1657</v>
      </c>
      <c r="C45" s="9" t="s">
        <v>16</v>
      </c>
      <c r="D45" s="10" t="s">
        <v>110</v>
      </c>
      <c r="E45" s="10" t="s">
        <v>28</v>
      </c>
      <c r="F45" s="11">
        <v>46161</v>
      </c>
      <c r="G45" s="12" t="s">
        <v>1687</v>
      </c>
      <c r="H45" s="12" t="s">
        <v>553</v>
      </c>
      <c r="I45" s="15" t="s">
        <v>41</v>
      </c>
      <c r="J45" s="15" t="s">
        <v>41</v>
      </c>
      <c r="K45" s="15" t="s">
        <v>41</v>
      </c>
      <c r="L45" s="14" t="s">
        <v>1686</v>
      </c>
      <c r="M45" s="46" t="s">
        <v>29</v>
      </c>
      <c r="N45" s="16"/>
      <c r="O45" s="15"/>
      <c r="P45" s="17"/>
      <c r="Q45" s="17"/>
      <c r="R45" s="18"/>
    </row>
    <row r="46" spans="2:18" ht="30" customHeight="1" x14ac:dyDescent="0.45">
      <c r="B46" s="45" t="s">
        <v>1657</v>
      </c>
      <c r="C46" s="9" t="s">
        <v>17</v>
      </c>
      <c r="D46" s="10" t="s">
        <v>151</v>
      </c>
      <c r="E46" s="10" t="s">
        <v>27</v>
      </c>
      <c r="F46" s="11">
        <v>46161</v>
      </c>
      <c r="G46" s="12" t="s">
        <v>1689</v>
      </c>
      <c r="H46" s="12" t="s">
        <v>1688</v>
      </c>
      <c r="I46" s="40">
        <v>205</v>
      </c>
      <c r="J46" s="15">
        <f>I46/10</f>
        <v>20.5</v>
      </c>
      <c r="K46" s="15" t="s">
        <v>41</v>
      </c>
      <c r="L46" s="14" t="s">
        <v>1690</v>
      </c>
      <c r="M46" s="46" t="s">
        <v>29</v>
      </c>
      <c r="N46" s="16"/>
      <c r="O46" s="15"/>
      <c r="P46" s="17"/>
      <c r="Q46" s="17"/>
      <c r="R46" s="18"/>
    </row>
    <row r="47" spans="2:18" ht="30" customHeight="1" x14ac:dyDescent="0.45">
      <c r="B47" s="45" t="s">
        <v>1657</v>
      </c>
      <c r="C47" s="9" t="s">
        <v>9</v>
      </c>
      <c r="D47" s="10" t="s">
        <v>30</v>
      </c>
      <c r="E47" s="10" t="s">
        <v>27</v>
      </c>
      <c r="F47" s="11">
        <v>46161</v>
      </c>
      <c r="G47" s="12" t="s">
        <v>1692</v>
      </c>
      <c r="H47" s="12" t="s">
        <v>1691</v>
      </c>
      <c r="I47" s="15" t="s">
        <v>41</v>
      </c>
      <c r="J47" s="15" t="s">
        <v>41</v>
      </c>
      <c r="K47" s="15" t="s">
        <v>41</v>
      </c>
      <c r="L47" s="14" t="s">
        <v>1693</v>
      </c>
      <c r="M47" s="46" t="s">
        <v>29</v>
      </c>
      <c r="N47" s="16"/>
      <c r="O47" s="15"/>
      <c r="P47" s="17"/>
      <c r="Q47" s="17"/>
      <c r="R47" s="18"/>
    </row>
    <row r="48" spans="2:18" ht="30" customHeight="1" x14ac:dyDescent="0.45">
      <c r="B48" s="45" t="s">
        <v>1657</v>
      </c>
      <c r="C48" s="9" t="s">
        <v>10</v>
      </c>
      <c r="D48" s="10" t="s">
        <v>30</v>
      </c>
      <c r="E48" s="10" t="s">
        <v>27</v>
      </c>
      <c r="F48" s="11">
        <v>46162</v>
      </c>
      <c r="G48" s="12" t="s">
        <v>1694</v>
      </c>
      <c r="H48" s="12" t="s">
        <v>1695</v>
      </c>
      <c r="I48" s="15" t="s">
        <v>41</v>
      </c>
      <c r="J48" s="15" t="s">
        <v>41</v>
      </c>
      <c r="K48" s="15" t="s">
        <v>41</v>
      </c>
      <c r="L48" s="14" t="s">
        <v>1696</v>
      </c>
      <c r="M48" s="46" t="s">
        <v>29</v>
      </c>
      <c r="N48" s="16"/>
      <c r="O48" s="15"/>
      <c r="P48" s="17"/>
      <c r="Q48" s="17"/>
      <c r="R48" s="18"/>
    </row>
    <row r="49" spans="2:25" ht="30" customHeight="1" x14ac:dyDescent="0.45">
      <c r="B49" s="45" t="s">
        <v>1657</v>
      </c>
      <c r="C49" s="9" t="s">
        <v>19</v>
      </c>
      <c r="D49" s="10" t="s">
        <v>981</v>
      </c>
      <c r="E49" s="10" t="s">
        <v>27</v>
      </c>
      <c r="F49" s="11">
        <v>46161</v>
      </c>
      <c r="G49" s="12" t="s">
        <v>1697</v>
      </c>
      <c r="H49" s="12" t="s">
        <v>1698</v>
      </c>
      <c r="I49" s="15" t="s">
        <v>41</v>
      </c>
      <c r="J49" s="15" t="s">
        <v>41</v>
      </c>
      <c r="K49" s="15" t="s">
        <v>41</v>
      </c>
      <c r="L49" s="14" t="s">
        <v>1699</v>
      </c>
      <c r="M49" s="46" t="s">
        <v>29</v>
      </c>
      <c r="N49" s="16"/>
      <c r="O49" s="15"/>
      <c r="P49" s="17"/>
      <c r="Q49" s="17"/>
      <c r="R49" s="18"/>
    </row>
    <row r="50" spans="2:25" ht="30" customHeight="1" x14ac:dyDescent="0.45">
      <c r="B50" s="45" t="s">
        <v>1607</v>
      </c>
      <c r="C50" s="9" t="s">
        <v>14</v>
      </c>
      <c r="D50" s="10" t="s">
        <v>110</v>
      </c>
      <c r="E50" s="10" t="s">
        <v>27</v>
      </c>
      <c r="F50" s="11">
        <v>46155</v>
      </c>
      <c r="G50" s="12" t="s">
        <v>1625</v>
      </c>
      <c r="H50" s="12" t="s">
        <v>1626</v>
      </c>
      <c r="I50" s="15" t="s">
        <v>41</v>
      </c>
      <c r="J50" s="15" t="s">
        <v>41</v>
      </c>
      <c r="K50" s="15" t="s">
        <v>41</v>
      </c>
      <c r="L50" s="14" t="s">
        <v>1627</v>
      </c>
      <c r="M50" s="46" t="s">
        <v>29</v>
      </c>
      <c r="N50" s="16"/>
      <c r="O50" s="15"/>
      <c r="P50" s="17"/>
      <c r="Q50" s="17"/>
      <c r="R50" s="18"/>
    </row>
    <row r="51" spans="2:25" ht="30" customHeight="1" x14ac:dyDescent="0.45">
      <c r="B51" s="45" t="s">
        <v>1607</v>
      </c>
      <c r="C51" s="9" t="s">
        <v>14</v>
      </c>
      <c r="D51" s="10" t="s">
        <v>30</v>
      </c>
      <c r="E51" s="10" t="s">
        <v>27</v>
      </c>
      <c r="F51" s="11">
        <v>46154</v>
      </c>
      <c r="G51" s="12" t="s">
        <v>1628</v>
      </c>
      <c r="H51" s="12" t="s">
        <v>1629</v>
      </c>
      <c r="I51" s="15" t="s">
        <v>41</v>
      </c>
      <c r="J51" s="15" t="s">
        <v>41</v>
      </c>
      <c r="K51" s="15" t="s">
        <v>41</v>
      </c>
      <c r="L51" s="14" t="s">
        <v>1630</v>
      </c>
      <c r="M51" s="41" t="s">
        <v>29</v>
      </c>
      <c r="N51" s="16"/>
      <c r="O51" s="15"/>
      <c r="P51" s="17"/>
      <c r="Q51" s="17"/>
      <c r="R51" s="18"/>
    </row>
    <row r="52" spans="2:25" ht="30" customHeight="1" x14ac:dyDescent="0.45">
      <c r="B52" s="45" t="s">
        <v>1607</v>
      </c>
      <c r="C52" s="9" t="s">
        <v>16</v>
      </c>
      <c r="D52" s="10" t="s">
        <v>30</v>
      </c>
      <c r="E52" s="10" t="s">
        <v>27</v>
      </c>
      <c r="F52" s="11">
        <v>46155</v>
      </c>
      <c r="G52" s="12" t="s">
        <v>1635</v>
      </c>
      <c r="H52" s="12" t="s">
        <v>1636</v>
      </c>
      <c r="I52" s="15" t="s">
        <v>41</v>
      </c>
      <c r="J52" s="15" t="s">
        <v>41</v>
      </c>
      <c r="K52" s="15" t="s">
        <v>41</v>
      </c>
      <c r="L52" s="14" t="s">
        <v>1650</v>
      </c>
      <c r="M52" s="41" t="s">
        <v>29</v>
      </c>
      <c r="N52" s="16"/>
      <c r="O52" s="15"/>
      <c r="P52" s="17"/>
      <c r="Q52" s="17"/>
      <c r="R52" s="18"/>
      <c r="U52" t="s">
        <v>11</v>
      </c>
      <c r="V52" t="s">
        <v>1734</v>
      </c>
      <c r="W52" t="s">
        <v>29</v>
      </c>
      <c r="X52" s="35"/>
      <c r="Y52"/>
    </row>
    <row r="53" spans="2:25" ht="30" customHeight="1" x14ac:dyDescent="0.45">
      <c r="B53" s="45" t="s">
        <v>1607</v>
      </c>
      <c r="C53" s="9" t="s">
        <v>12</v>
      </c>
      <c r="D53" s="10" t="s">
        <v>110</v>
      </c>
      <c r="E53" s="10" t="s">
        <v>27</v>
      </c>
      <c r="F53" s="11">
        <v>46157</v>
      </c>
      <c r="G53" s="12" t="s">
        <v>1638</v>
      </c>
      <c r="H53" s="12" t="s">
        <v>1637</v>
      </c>
      <c r="I53" s="15" t="s">
        <v>41</v>
      </c>
      <c r="J53" s="15" t="s">
        <v>41</v>
      </c>
      <c r="K53" s="15" t="s">
        <v>41</v>
      </c>
      <c r="L53" s="14" t="s">
        <v>1639</v>
      </c>
      <c r="M53" s="41" t="s">
        <v>29</v>
      </c>
      <c r="N53" s="16"/>
      <c r="O53" s="15"/>
      <c r="P53" s="17"/>
      <c r="Q53" s="17"/>
      <c r="R53" s="18"/>
      <c r="U53" t="s">
        <v>14</v>
      </c>
      <c r="V53" t="s">
        <v>1735</v>
      </c>
      <c r="W53" s="49" t="s">
        <v>1736</v>
      </c>
      <c r="X53" s="35" t="s">
        <v>1737</v>
      </c>
      <c r="Y53" t="s">
        <v>1738</v>
      </c>
    </row>
    <row r="54" spans="2:25" ht="30" customHeight="1" x14ac:dyDescent="0.45">
      <c r="B54" s="45" t="s">
        <v>1607</v>
      </c>
      <c r="C54" s="9" t="s">
        <v>12</v>
      </c>
      <c r="D54" s="10" t="s">
        <v>30</v>
      </c>
      <c r="E54" s="10" t="s">
        <v>27</v>
      </c>
      <c r="F54" s="11">
        <v>46155</v>
      </c>
      <c r="G54" s="12" t="s">
        <v>1640</v>
      </c>
      <c r="H54" s="12" t="s">
        <v>1641</v>
      </c>
      <c r="I54" s="15" t="s">
        <v>41</v>
      </c>
      <c r="J54" s="15" t="s">
        <v>41</v>
      </c>
      <c r="K54" s="15" t="s">
        <v>41</v>
      </c>
      <c r="L54" s="14" t="s">
        <v>1651</v>
      </c>
      <c r="M54" s="41" t="s">
        <v>29</v>
      </c>
      <c r="N54" s="16"/>
      <c r="O54" s="15"/>
      <c r="P54" s="17"/>
      <c r="Q54" s="17"/>
      <c r="R54" s="18"/>
    </row>
    <row r="55" spans="2:25" ht="30" customHeight="1" x14ac:dyDescent="0.45">
      <c r="B55" s="45" t="s">
        <v>1607</v>
      </c>
      <c r="C55" s="9" t="s">
        <v>12</v>
      </c>
      <c r="D55" s="10" t="s">
        <v>1631</v>
      </c>
      <c r="E55" s="10" t="s">
        <v>27</v>
      </c>
      <c r="F55" s="11">
        <v>46153</v>
      </c>
      <c r="G55" s="12" t="s">
        <v>1632</v>
      </c>
      <c r="H55" s="12" t="s">
        <v>1633</v>
      </c>
      <c r="I55" s="15" t="s">
        <v>41</v>
      </c>
      <c r="J55" s="15" t="s">
        <v>41</v>
      </c>
      <c r="K55" s="15" t="s">
        <v>41</v>
      </c>
      <c r="L55" s="14" t="s">
        <v>1634</v>
      </c>
      <c r="M55" s="41" t="s">
        <v>29</v>
      </c>
      <c r="N55" s="16"/>
      <c r="O55" s="15"/>
      <c r="P55" s="17"/>
      <c r="Q55" s="17"/>
      <c r="R55" s="18"/>
    </row>
    <row r="56" spans="2:25" ht="30" customHeight="1" x14ac:dyDescent="0.45">
      <c r="B56" s="45" t="s">
        <v>1607</v>
      </c>
      <c r="C56" s="9" t="s">
        <v>17</v>
      </c>
      <c r="D56" s="10" t="s">
        <v>110</v>
      </c>
      <c r="E56" s="10" t="s">
        <v>27</v>
      </c>
      <c r="F56" s="11">
        <v>46156</v>
      </c>
      <c r="G56" s="12" t="s">
        <v>1642</v>
      </c>
      <c r="H56" s="12" t="s">
        <v>1023</v>
      </c>
      <c r="I56" s="15" t="s">
        <v>41</v>
      </c>
      <c r="J56" s="15" t="s">
        <v>41</v>
      </c>
      <c r="K56" s="15" t="s">
        <v>41</v>
      </c>
      <c r="L56" s="14" t="s">
        <v>1652</v>
      </c>
      <c r="M56" s="41" t="s">
        <v>29</v>
      </c>
      <c r="N56" s="16"/>
      <c r="O56" s="15"/>
      <c r="P56" s="17"/>
      <c r="Q56" s="17"/>
      <c r="R56" s="18"/>
    </row>
    <row r="57" spans="2:25" ht="30" customHeight="1" x14ac:dyDescent="0.45">
      <c r="B57" s="45" t="s">
        <v>1607</v>
      </c>
      <c r="C57" s="9" t="s">
        <v>9</v>
      </c>
      <c r="D57" s="10" t="s">
        <v>30</v>
      </c>
      <c r="E57" s="10" t="s">
        <v>28</v>
      </c>
      <c r="F57" s="11">
        <v>46155</v>
      </c>
      <c r="G57" s="12" t="s">
        <v>1643</v>
      </c>
      <c r="H57" s="12" t="s">
        <v>1017</v>
      </c>
      <c r="I57" s="15" t="s">
        <v>41</v>
      </c>
      <c r="J57" s="15" t="s">
        <v>41</v>
      </c>
      <c r="K57" s="15" t="s">
        <v>41</v>
      </c>
      <c r="L57" s="14" t="s">
        <v>1644</v>
      </c>
      <c r="M57" s="41" t="s">
        <v>29</v>
      </c>
      <c r="N57" s="16"/>
      <c r="O57" s="15"/>
      <c r="P57" s="17"/>
      <c r="Q57" s="17"/>
      <c r="R57" s="18"/>
      <c r="U57" t="s">
        <v>15</v>
      </c>
      <c r="V57" t="s">
        <v>1739</v>
      </c>
      <c r="W57" s="49" t="s">
        <v>1740</v>
      </c>
      <c r="X57" s="35" t="s">
        <v>1737</v>
      </c>
      <c r="Y57" t="s">
        <v>1741</v>
      </c>
    </row>
    <row r="58" spans="2:25" ht="30" customHeight="1" x14ac:dyDescent="0.45">
      <c r="B58" s="45" t="s">
        <v>1607</v>
      </c>
      <c r="C58" s="9" t="s">
        <v>10</v>
      </c>
      <c r="D58" s="10" t="s">
        <v>30</v>
      </c>
      <c r="E58" s="10" t="s">
        <v>27</v>
      </c>
      <c r="F58" s="11">
        <v>46153</v>
      </c>
      <c r="G58" s="12" t="s">
        <v>1647</v>
      </c>
      <c r="H58" s="12" t="s">
        <v>1646</v>
      </c>
      <c r="I58" s="15" t="s">
        <v>41</v>
      </c>
      <c r="J58" s="15" t="s">
        <v>41</v>
      </c>
      <c r="K58" s="15" t="s">
        <v>41</v>
      </c>
      <c r="L58" s="14" t="s">
        <v>1645</v>
      </c>
      <c r="M58" s="41" t="s">
        <v>29</v>
      </c>
      <c r="N58" s="16"/>
      <c r="O58" s="15"/>
      <c r="P58" s="17"/>
      <c r="Q58" s="17"/>
      <c r="R58" s="18"/>
      <c r="U58" t="s">
        <v>15</v>
      </c>
      <c r="V58" t="s">
        <v>1739</v>
      </c>
      <c r="W58" s="49" t="s">
        <v>1742</v>
      </c>
      <c r="X58" s="35" t="s">
        <v>1743</v>
      </c>
      <c r="Y58" t="s">
        <v>1744</v>
      </c>
    </row>
    <row r="59" spans="2:25" ht="30" customHeight="1" x14ac:dyDescent="0.45">
      <c r="B59" s="45" t="s">
        <v>1607</v>
      </c>
      <c r="C59" s="9" t="s">
        <v>19</v>
      </c>
      <c r="D59" s="10" t="s">
        <v>226</v>
      </c>
      <c r="E59" s="10" t="s">
        <v>28</v>
      </c>
      <c r="F59" s="11">
        <v>46156</v>
      </c>
      <c r="G59" s="12" t="s">
        <v>1649</v>
      </c>
      <c r="H59" s="12" t="s">
        <v>1648</v>
      </c>
      <c r="I59" s="15" t="s">
        <v>41</v>
      </c>
      <c r="J59" s="15" t="s">
        <v>41</v>
      </c>
      <c r="K59" s="15" t="s">
        <v>41</v>
      </c>
      <c r="L59" s="14" t="s">
        <v>1653</v>
      </c>
      <c r="M59" s="41" t="s">
        <v>29</v>
      </c>
      <c r="N59" s="16"/>
      <c r="O59" s="15"/>
      <c r="P59" s="17"/>
      <c r="Q59" s="17"/>
      <c r="R59" s="18"/>
      <c r="U59" t="s">
        <v>15</v>
      </c>
      <c r="V59"/>
      <c r="W59" s="49" t="s">
        <v>1745</v>
      </c>
      <c r="X59" s="35"/>
      <c r="Y59" t="s">
        <v>1746</v>
      </c>
    </row>
    <row r="60" spans="2:25" ht="30" customHeight="1" x14ac:dyDescent="0.45">
      <c r="B60" s="45" t="s">
        <v>1564</v>
      </c>
      <c r="C60" s="9" t="s">
        <v>14</v>
      </c>
      <c r="D60" s="10" t="s">
        <v>30</v>
      </c>
      <c r="E60" s="10" t="s">
        <v>27</v>
      </c>
      <c r="F60" s="11">
        <v>46148</v>
      </c>
      <c r="G60" s="12" t="s">
        <v>1566</v>
      </c>
      <c r="H60" s="12" t="s">
        <v>1565</v>
      </c>
      <c r="I60" s="40">
        <v>4200</v>
      </c>
      <c r="J60" s="15" t="s">
        <v>41</v>
      </c>
      <c r="K60" s="15" t="s">
        <v>41</v>
      </c>
      <c r="L60" s="14" t="s">
        <v>1570</v>
      </c>
      <c r="M60" s="41" t="s">
        <v>29</v>
      </c>
      <c r="N60" s="16"/>
      <c r="O60" s="15"/>
      <c r="P60" s="17"/>
      <c r="Q60" s="17"/>
      <c r="R60" s="18"/>
      <c r="U60" t="s">
        <v>16</v>
      </c>
      <c r="V60"/>
      <c r="W60" s="49"/>
      <c r="X60" s="35"/>
      <c r="Y60"/>
    </row>
    <row r="61" spans="2:25" ht="30" customHeight="1" x14ac:dyDescent="0.45">
      <c r="B61" s="45" t="s">
        <v>1564</v>
      </c>
      <c r="C61" s="9" t="s">
        <v>14</v>
      </c>
      <c r="D61" s="10" t="s">
        <v>30</v>
      </c>
      <c r="E61" s="10" t="s">
        <v>27</v>
      </c>
      <c r="F61" s="11">
        <v>46146</v>
      </c>
      <c r="G61" s="12" t="s">
        <v>1567</v>
      </c>
      <c r="H61" s="12" t="s">
        <v>1568</v>
      </c>
      <c r="I61" s="15" t="s">
        <v>41</v>
      </c>
      <c r="J61" s="15" t="s">
        <v>41</v>
      </c>
      <c r="K61" s="15" t="s">
        <v>41</v>
      </c>
      <c r="L61" s="14" t="s">
        <v>1569</v>
      </c>
      <c r="M61" s="41" t="s">
        <v>29</v>
      </c>
      <c r="N61" s="16"/>
      <c r="O61" s="15"/>
      <c r="P61" s="17"/>
      <c r="Q61" s="17"/>
      <c r="R61" s="18"/>
      <c r="U61" t="s">
        <v>12</v>
      </c>
      <c r="V61" t="s">
        <v>1735</v>
      </c>
      <c r="W61" s="49" t="s">
        <v>1747</v>
      </c>
      <c r="X61" s="35" t="s">
        <v>1748</v>
      </c>
      <c r="Y61" t="s">
        <v>1749</v>
      </c>
    </row>
    <row r="62" spans="2:25" ht="30" customHeight="1" x14ac:dyDescent="0.45">
      <c r="B62" s="45" t="s">
        <v>1564</v>
      </c>
      <c r="C62" s="9" t="s">
        <v>15</v>
      </c>
      <c r="D62" s="10" t="s">
        <v>36</v>
      </c>
      <c r="E62" s="10" t="s">
        <v>27</v>
      </c>
      <c r="F62" s="11">
        <v>46150</v>
      </c>
      <c r="G62" s="12" t="s">
        <v>1571</v>
      </c>
      <c r="H62" s="12" t="s">
        <v>1572</v>
      </c>
      <c r="I62" s="15" t="s">
        <v>41</v>
      </c>
      <c r="J62" s="15" t="s">
        <v>41</v>
      </c>
      <c r="K62" s="15" t="s">
        <v>41</v>
      </c>
      <c r="L62" s="14" t="s">
        <v>1576</v>
      </c>
      <c r="M62" s="41" t="s">
        <v>29</v>
      </c>
      <c r="N62" s="16"/>
      <c r="O62" s="15"/>
      <c r="P62" s="17"/>
      <c r="Q62" s="17"/>
      <c r="R62" s="18"/>
      <c r="U62" t="s">
        <v>12</v>
      </c>
      <c r="V62" t="s">
        <v>1739</v>
      </c>
      <c r="W62" s="49" t="s">
        <v>1750</v>
      </c>
      <c r="X62" s="35" t="s">
        <v>1737</v>
      </c>
      <c r="Y62" t="s">
        <v>1751</v>
      </c>
    </row>
    <row r="63" spans="2:25" ht="30" customHeight="1" x14ac:dyDescent="0.45">
      <c r="B63" s="45" t="s">
        <v>1564</v>
      </c>
      <c r="C63" s="9" t="s">
        <v>16</v>
      </c>
      <c r="D63" s="10" t="s">
        <v>30</v>
      </c>
      <c r="E63" s="10" t="s">
        <v>27</v>
      </c>
      <c r="F63" s="11">
        <v>46147</v>
      </c>
      <c r="G63" s="12" t="s">
        <v>1574</v>
      </c>
      <c r="H63" s="12" t="s">
        <v>1573</v>
      </c>
      <c r="I63" s="15" t="s">
        <v>41</v>
      </c>
      <c r="J63" s="15" t="s">
        <v>41</v>
      </c>
      <c r="K63" s="15" t="s">
        <v>41</v>
      </c>
      <c r="L63" s="14" t="s">
        <v>1575</v>
      </c>
      <c r="M63" s="41" t="s">
        <v>29</v>
      </c>
      <c r="N63" s="16"/>
      <c r="O63" s="15"/>
      <c r="P63" s="17"/>
      <c r="Q63" s="17"/>
      <c r="R63" s="18"/>
      <c r="U63" t="s">
        <v>17</v>
      </c>
      <c r="V63" t="s">
        <v>1739</v>
      </c>
      <c r="W63" s="49" t="s">
        <v>1752</v>
      </c>
      <c r="X63" s="35" t="s">
        <v>1737</v>
      </c>
      <c r="Y63" t="s">
        <v>1753</v>
      </c>
    </row>
    <row r="64" spans="2:25" ht="30" customHeight="1" x14ac:dyDescent="0.45">
      <c r="B64" s="45" t="s">
        <v>1564</v>
      </c>
      <c r="C64" s="9" t="s">
        <v>12</v>
      </c>
      <c r="D64" s="10" t="s">
        <v>30</v>
      </c>
      <c r="E64" s="10" t="s">
        <v>28</v>
      </c>
      <c r="F64" s="11">
        <v>46149</v>
      </c>
      <c r="G64" s="12" t="s">
        <v>1577</v>
      </c>
      <c r="H64" s="12" t="s">
        <v>1578</v>
      </c>
      <c r="I64" s="40">
        <v>6300</v>
      </c>
      <c r="J64" s="15" t="s">
        <v>41</v>
      </c>
      <c r="K64" s="15" t="s">
        <v>41</v>
      </c>
      <c r="L64" s="14" t="s">
        <v>1579</v>
      </c>
      <c r="M64" s="41" t="s">
        <v>29</v>
      </c>
      <c r="N64" s="16"/>
      <c r="O64" s="15"/>
      <c r="P64" s="17"/>
      <c r="Q64" s="17"/>
      <c r="R64" s="18"/>
      <c r="U64" t="s">
        <v>9</v>
      </c>
      <c r="V64" t="s">
        <v>1735</v>
      </c>
      <c r="W64" s="49" t="s">
        <v>1754</v>
      </c>
      <c r="X64" s="35"/>
      <c r="Y64" t="s">
        <v>1755</v>
      </c>
    </row>
    <row r="65" spans="2:25" ht="30" customHeight="1" x14ac:dyDescent="0.45">
      <c r="B65" s="45" t="s">
        <v>1564</v>
      </c>
      <c r="C65" s="9" t="s">
        <v>17</v>
      </c>
      <c r="D65" s="10" t="s">
        <v>110</v>
      </c>
      <c r="E65" s="10" t="s">
        <v>28</v>
      </c>
      <c r="F65" s="11">
        <v>46150</v>
      </c>
      <c r="G65" s="12" t="s">
        <v>1582</v>
      </c>
      <c r="H65" s="12" t="s">
        <v>1580</v>
      </c>
      <c r="I65" s="15" t="s">
        <v>41</v>
      </c>
      <c r="J65" s="15" t="s">
        <v>41</v>
      </c>
      <c r="K65" s="15" t="s">
        <v>41</v>
      </c>
      <c r="L65" s="14" t="s">
        <v>1581</v>
      </c>
      <c r="M65" s="41" t="s">
        <v>29</v>
      </c>
      <c r="N65" s="16"/>
      <c r="O65" s="15"/>
      <c r="P65" s="17"/>
      <c r="Q65" s="17"/>
      <c r="R65" s="18"/>
      <c r="U65" t="s">
        <v>9</v>
      </c>
      <c r="V65" t="s">
        <v>1739</v>
      </c>
      <c r="W65" s="49" t="s">
        <v>1756</v>
      </c>
      <c r="X65" s="35" t="s">
        <v>1737</v>
      </c>
      <c r="Y65" t="s">
        <v>1757</v>
      </c>
    </row>
    <row r="66" spans="2:25" ht="30" customHeight="1" x14ac:dyDescent="0.45">
      <c r="B66" s="45" t="s">
        <v>1564</v>
      </c>
      <c r="C66" s="9" t="s">
        <v>9</v>
      </c>
      <c r="D66" s="10" t="s">
        <v>110</v>
      </c>
      <c r="E66" s="10" t="s">
        <v>27</v>
      </c>
      <c r="F66" s="11">
        <v>46149</v>
      </c>
      <c r="G66" s="12" t="s">
        <v>1584</v>
      </c>
      <c r="H66" s="12" t="s">
        <v>1585</v>
      </c>
      <c r="I66" s="15" t="s">
        <v>41</v>
      </c>
      <c r="J66" s="15" t="s">
        <v>41</v>
      </c>
      <c r="K66" s="15" t="s">
        <v>41</v>
      </c>
      <c r="L66" s="14" t="s">
        <v>1583</v>
      </c>
      <c r="M66" s="41" t="s">
        <v>29</v>
      </c>
      <c r="N66" s="16"/>
      <c r="O66" s="15"/>
      <c r="P66" s="17"/>
      <c r="Q66" s="17"/>
      <c r="R66" s="18"/>
      <c r="U66" t="s">
        <v>9</v>
      </c>
      <c r="V66" t="s">
        <v>1739</v>
      </c>
      <c r="W66" s="49" t="s">
        <v>1758</v>
      </c>
      <c r="X66" s="35" t="s">
        <v>1737</v>
      </c>
      <c r="Y66" t="s">
        <v>1759</v>
      </c>
    </row>
    <row r="67" spans="2:25" ht="30" customHeight="1" x14ac:dyDescent="0.45">
      <c r="B67" s="45" t="s">
        <v>1564</v>
      </c>
      <c r="C67" s="9" t="s">
        <v>9</v>
      </c>
      <c r="D67" s="10" t="s">
        <v>30</v>
      </c>
      <c r="E67" s="10" t="s">
        <v>27</v>
      </c>
      <c r="F67" s="11">
        <v>46148</v>
      </c>
      <c r="G67" s="12" t="s">
        <v>1586</v>
      </c>
      <c r="H67" s="12" t="s">
        <v>1587</v>
      </c>
      <c r="I67" s="15" t="s">
        <v>41</v>
      </c>
      <c r="J67" s="15" t="s">
        <v>41</v>
      </c>
      <c r="K67" s="15" t="s">
        <v>41</v>
      </c>
      <c r="L67" s="14" t="s">
        <v>1588</v>
      </c>
      <c r="M67" s="41" t="s">
        <v>29</v>
      </c>
      <c r="N67" s="16"/>
      <c r="O67" s="15"/>
      <c r="P67" s="17"/>
      <c r="Q67" s="17"/>
      <c r="R67" s="18"/>
      <c r="U67" t="s">
        <v>10</v>
      </c>
      <c r="V67" t="s">
        <v>1739</v>
      </c>
      <c r="W67" s="49" t="s">
        <v>1760</v>
      </c>
      <c r="X67" s="35" t="s">
        <v>1737</v>
      </c>
      <c r="Y67" t="s">
        <v>1761</v>
      </c>
    </row>
    <row r="68" spans="2:25" ht="30" customHeight="1" x14ac:dyDescent="0.45">
      <c r="B68" s="45" t="s">
        <v>1564</v>
      </c>
      <c r="C68" s="9" t="s">
        <v>10</v>
      </c>
      <c r="D68" s="10" t="s">
        <v>30</v>
      </c>
      <c r="E68" s="10" t="s">
        <v>27</v>
      </c>
      <c r="F68" s="11">
        <v>46149</v>
      </c>
      <c r="G68" s="12" t="s">
        <v>1604</v>
      </c>
      <c r="H68" s="12" t="s">
        <v>1440</v>
      </c>
      <c r="I68" s="40">
        <v>600</v>
      </c>
      <c r="J68" s="15" t="s">
        <v>41</v>
      </c>
      <c r="K68" s="15" t="s">
        <v>41</v>
      </c>
      <c r="L68" s="14" t="s">
        <v>1605</v>
      </c>
      <c r="M68" s="41" t="s">
        <v>29</v>
      </c>
      <c r="N68" s="16"/>
      <c r="O68" s="15"/>
      <c r="P68" s="17"/>
      <c r="Q68" s="17"/>
      <c r="R68" s="18"/>
      <c r="U68" t="s">
        <v>19</v>
      </c>
      <c r="V68"/>
      <c r="W68" s="49"/>
      <c r="X68" s="35"/>
      <c r="Y68"/>
    </row>
    <row r="69" spans="2:25" ht="30" customHeight="1" x14ac:dyDescent="0.45">
      <c r="B69" s="45" t="s">
        <v>1564</v>
      </c>
      <c r="C69" s="9" t="s">
        <v>19</v>
      </c>
      <c r="D69" s="10" t="s">
        <v>30</v>
      </c>
      <c r="E69" s="10" t="s">
        <v>27</v>
      </c>
      <c r="F69" s="11">
        <v>46149</v>
      </c>
      <c r="G69" s="12" t="s">
        <v>1590</v>
      </c>
      <c r="H69" s="12" t="s">
        <v>1589</v>
      </c>
      <c r="I69" s="15" t="s">
        <v>41</v>
      </c>
      <c r="J69" s="15" t="s">
        <v>41</v>
      </c>
      <c r="K69" s="15" t="s">
        <v>41</v>
      </c>
      <c r="L69" s="14" t="s">
        <v>1591</v>
      </c>
      <c r="M69" s="41" t="s">
        <v>29</v>
      </c>
      <c r="N69" s="16"/>
      <c r="O69" s="15"/>
      <c r="P69" s="17"/>
      <c r="Q69" s="17"/>
      <c r="R69" s="18"/>
    </row>
    <row r="70" spans="2:25" ht="30" customHeight="1" x14ac:dyDescent="0.45">
      <c r="B70" s="45" t="s">
        <v>1495</v>
      </c>
      <c r="C70" s="9" t="s">
        <v>14</v>
      </c>
      <c r="D70" s="10" t="s">
        <v>30</v>
      </c>
      <c r="E70" s="10" t="s">
        <v>27</v>
      </c>
      <c r="F70" s="11">
        <v>46141</v>
      </c>
      <c r="G70" s="12" t="s">
        <v>1523</v>
      </c>
      <c r="H70" s="12" t="s">
        <v>45</v>
      </c>
      <c r="I70" s="15" t="s">
        <v>41</v>
      </c>
      <c r="J70" s="15" t="s">
        <v>41</v>
      </c>
      <c r="K70" s="15" t="s">
        <v>41</v>
      </c>
      <c r="L70" s="14" t="s">
        <v>1556</v>
      </c>
      <c r="M70" s="41" t="s">
        <v>29</v>
      </c>
      <c r="N70" s="16"/>
      <c r="O70" s="15"/>
      <c r="P70" s="17"/>
      <c r="Q70" s="17"/>
      <c r="R70" s="18"/>
    </row>
    <row r="71" spans="2:25" ht="30" customHeight="1" x14ac:dyDescent="0.45">
      <c r="B71" s="45" t="s">
        <v>1495</v>
      </c>
      <c r="C71" s="9" t="s">
        <v>15</v>
      </c>
      <c r="D71" s="10" t="s">
        <v>30</v>
      </c>
      <c r="E71" s="10" t="s">
        <v>27</v>
      </c>
      <c r="F71" s="11">
        <v>46139</v>
      </c>
      <c r="G71" s="12" t="s">
        <v>1524</v>
      </c>
      <c r="H71" s="12" t="s">
        <v>1525</v>
      </c>
      <c r="I71" s="15" t="s">
        <v>41</v>
      </c>
      <c r="J71" s="15" t="s">
        <v>41</v>
      </c>
      <c r="K71" s="15" t="s">
        <v>41</v>
      </c>
      <c r="L71" s="14" t="s">
        <v>1557</v>
      </c>
      <c r="M71" s="41" t="s">
        <v>29</v>
      </c>
      <c r="N71" s="16"/>
      <c r="O71" s="15"/>
      <c r="P71" s="17"/>
      <c r="Q71" s="17"/>
      <c r="R71" s="18"/>
    </row>
    <row r="72" spans="2:25" ht="30" customHeight="1" x14ac:dyDescent="0.45">
      <c r="B72" s="45" t="s">
        <v>1495</v>
      </c>
      <c r="C72" s="9" t="s">
        <v>16</v>
      </c>
      <c r="D72" s="10" t="s">
        <v>30</v>
      </c>
      <c r="E72" s="10" t="s">
        <v>27</v>
      </c>
      <c r="F72" s="11">
        <v>46143</v>
      </c>
      <c r="G72" s="12" t="s">
        <v>1528</v>
      </c>
      <c r="H72" s="12" t="s">
        <v>1030</v>
      </c>
      <c r="I72" s="15" t="s">
        <v>41</v>
      </c>
      <c r="J72" s="15" t="s">
        <v>41</v>
      </c>
      <c r="K72" s="15" t="s">
        <v>41</v>
      </c>
      <c r="L72" s="14" t="s">
        <v>1529</v>
      </c>
      <c r="M72" s="41" t="s">
        <v>29</v>
      </c>
      <c r="N72" s="16"/>
      <c r="O72" s="15"/>
      <c r="P72" s="17"/>
      <c r="Q72" s="17"/>
      <c r="R72" s="18"/>
      <c r="U72"/>
      <c r="V72"/>
      <c r="W72" s="49"/>
      <c r="X72" s="35"/>
      <c r="Y72"/>
    </row>
    <row r="73" spans="2:25" ht="30" customHeight="1" x14ac:dyDescent="0.45">
      <c r="B73" s="45" t="s">
        <v>1495</v>
      </c>
      <c r="C73" s="9" t="s">
        <v>16</v>
      </c>
      <c r="D73" s="10" t="s">
        <v>30</v>
      </c>
      <c r="E73" s="10" t="s">
        <v>27</v>
      </c>
      <c r="F73" s="11">
        <v>46142</v>
      </c>
      <c r="G73" s="12" t="s">
        <v>1526</v>
      </c>
      <c r="H73" s="12" t="s">
        <v>1527</v>
      </c>
      <c r="I73" s="15" t="s">
        <v>41</v>
      </c>
      <c r="J73" s="15" t="s">
        <v>41</v>
      </c>
      <c r="K73" s="15" t="s">
        <v>41</v>
      </c>
      <c r="L73" s="14" t="s">
        <v>1563</v>
      </c>
      <c r="M73" s="41" t="s">
        <v>29</v>
      </c>
      <c r="N73" s="16"/>
      <c r="O73" s="15"/>
      <c r="P73" s="17"/>
      <c r="Q73" s="17"/>
      <c r="R73" s="18"/>
      <c r="U73"/>
      <c r="V73"/>
      <c r="W73" s="49"/>
      <c r="X73" s="35"/>
      <c r="Y73"/>
    </row>
    <row r="74" spans="2:25" ht="30" customHeight="1" x14ac:dyDescent="0.45">
      <c r="B74" s="45" t="s">
        <v>1495</v>
      </c>
      <c r="C74" s="9" t="s">
        <v>16</v>
      </c>
      <c r="D74" s="10" t="s">
        <v>30</v>
      </c>
      <c r="E74" s="10" t="s">
        <v>27</v>
      </c>
      <c r="F74" s="11">
        <v>46142</v>
      </c>
      <c r="G74" s="12" t="s">
        <v>1537</v>
      </c>
      <c r="H74" s="12" t="s">
        <v>1538</v>
      </c>
      <c r="I74" s="15" t="s">
        <v>41</v>
      </c>
      <c r="J74" s="15">
        <v>10</v>
      </c>
      <c r="K74" s="15" t="s">
        <v>41</v>
      </c>
      <c r="L74" s="14" t="s">
        <v>1536</v>
      </c>
      <c r="M74" s="41" t="s">
        <v>29</v>
      </c>
      <c r="N74" s="16" t="s">
        <v>1539</v>
      </c>
      <c r="O74" s="15"/>
      <c r="P74" s="17"/>
      <c r="Q74" s="17"/>
      <c r="R74" s="18"/>
      <c r="U74"/>
      <c r="V74"/>
      <c r="W74" s="49"/>
      <c r="X74" s="35"/>
      <c r="Y74"/>
    </row>
    <row r="75" spans="2:25" ht="30" customHeight="1" x14ac:dyDescent="0.45">
      <c r="B75" s="45" t="s">
        <v>1495</v>
      </c>
      <c r="C75" s="9" t="s">
        <v>16</v>
      </c>
      <c r="D75" s="10" t="s">
        <v>95</v>
      </c>
      <c r="E75" s="10" t="s">
        <v>27</v>
      </c>
      <c r="F75" s="11">
        <v>46140</v>
      </c>
      <c r="G75" s="12" t="s">
        <v>1530</v>
      </c>
      <c r="H75" s="12" t="s">
        <v>1531</v>
      </c>
      <c r="I75" s="15" t="s">
        <v>41</v>
      </c>
      <c r="J75" s="15" t="s">
        <v>41</v>
      </c>
      <c r="K75" s="15" t="s">
        <v>41</v>
      </c>
      <c r="L75" s="14" t="s">
        <v>1532</v>
      </c>
      <c r="M75" s="41" t="s">
        <v>29</v>
      </c>
      <c r="N75" s="16"/>
      <c r="O75" s="15"/>
      <c r="P75" s="17"/>
      <c r="Q75" s="17"/>
      <c r="R75" s="18"/>
      <c r="U75" t="s">
        <v>19</v>
      </c>
      <c r="V75"/>
      <c r="W75" s="49"/>
      <c r="X75" s="35"/>
      <c r="Y75"/>
    </row>
    <row r="76" spans="2:25" ht="30" customHeight="1" x14ac:dyDescent="0.45">
      <c r="B76" s="45" t="s">
        <v>1495</v>
      </c>
      <c r="C76" s="9" t="s">
        <v>9</v>
      </c>
      <c r="D76" s="10" t="s">
        <v>30</v>
      </c>
      <c r="E76" s="10" t="s">
        <v>27</v>
      </c>
      <c r="F76" s="11">
        <v>46140</v>
      </c>
      <c r="G76" s="12" t="s">
        <v>1543</v>
      </c>
      <c r="H76" s="12" t="s">
        <v>1544</v>
      </c>
      <c r="I76" s="15" t="s">
        <v>41</v>
      </c>
      <c r="J76" s="15" t="s">
        <v>41</v>
      </c>
      <c r="K76" s="15" t="s">
        <v>41</v>
      </c>
      <c r="L76" s="14" t="s">
        <v>1545</v>
      </c>
      <c r="M76" s="41" t="s">
        <v>29</v>
      </c>
      <c r="N76" s="16"/>
      <c r="O76" s="15"/>
      <c r="P76" s="17"/>
      <c r="Q76" s="17"/>
      <c r="R76" s="18"/>
    </row>
    <row r="77" spans="2:25" ht="30" customHeight="1" x14ac:dyDescent="0.45">
      <c r="B77" s="45" t="s">
        <v>1495</v>
      </c>
      <c r="C77" s="9" t="s">
        <v>9</v>
      </c>
      <c r="D77" s="10" t="s">
        <v>30</v>
      </c>
      <c r="E77" s="10" t="s">
        <v>27</v>
      </c>
      <c r="F77" s="11">
        <v>46139</v>
      </c>
      <c r="G77" s="12" t="s">
        <v>1540</v>
      </c>
      <c r="H77" s="12" t="s">
        <v>1541</v>
      </c>
      <c r="I77" s="15" t="s">
        <v>41</v>
      </c>
      <c r="J77" s="15" t="s">
        <v>41</v>
      </c>
      <c r="K77" s="15" t="s">
        <v>41</v>
      </c>
      <c r="L77" s="14" t="s">
        <v>1542</v>
      </c>
      <c r="M77" s="41" t="s">
        <v>29</v>
      </c>
      <c r="N77" s="16"/>
      <c r="O77" s="15"/>
      <c r="P77" s="17"/>
      <c r="Q77" s="17"/>
      <c r="R77" s="18"/>
    </row>
    <row r="78" spans="2:25" ht="30" customHeight="1" x14ac:dyDescent="0.45">
      <c r="B78" s="45" t="s">
        <v>1495</v>
      </c>
      <c r="C78" s="9" t="s">
        <v>10</v>
      </c>
      <c r="D78" s="10" t="s">
        <v>36</v>
      </c>
      <c r="E78" s="10" t="s">
        <v>27</v>
      </c>
      <c r="F78" s="11">
        <v>46143</v>
      </c>
      <c r="G78" s="12" t="s">
        <v>1546</v>
      </c>
      <c r="H78" s="12" t="s">
        <v>1547</v>
      </c>
      <c r="I78" s="15" t="s">
        <v>41</v>
      </c>
      <c r="J78" s="15" t="s">
        <v>41</v>
      </c>
      <c r="K78" s="15" t="s">
        <v>41</v>
      </c>
      <c r="L78" s="14" t="s">
        <v>1558</v>
      </c>
      <c r="M78" s="41" t="s">
        <v>29</v>
      </c>
      <c r="N78" s="16"/>
      <c r="O78" s="15"/>
      <c r="P78" s="17"/>
      <c r="Q78" s="17"/>
      <c r="R78" s="18"/>
    </row>
    <row r="79" spans="2:25" ht="30" customHeight="1" x14ac:dyDescent="0.45">
      <c r="B79" s="45" t="s">
        <v>1495</v>
      </c>
      <c r="C79" s="9" t="s">
        <v>10</v>
      </c>
      <c r="D79" s="10" t="s">
        <v>30</v>
      </c>
      <c r="E79" s="10" t="s">
        <v>27</v>
      </c>
      <c r="F79" s="11">
        <v>46142</v>
      </c>
      <c r="G79" s="12" t="s">
        <v>1503</v>
      </c>
      <c r="H79" s="12" t="s">
        <v>1504</v>
      </c>
      <c r="I79" s="40">
        <v>105</v>
      </c>
      <c r="J79" s="15">
        <f>I79/32</f>
        <v>3.28125</v>
      </c>
      <c r="K79" s="15" t="s">
        <v>41</v>
      </c>
      <c r="L79" s="14" t="s">
        <v>1535</v>
      </c>
      <c r="M79" s="41" t="s">
        <v>29</v>
      </c>
      <c r="N79" s="16" t="s">
        <v>1534</v>
      </c>
      <c r="O79" s="15" t="s">
        <v>1533</v>
      </c>
      <c r="P79" s="17"/>
      <c r="Q79" s="17"/>
      <c r="R79" s="18"/>
    </row>
    <row r="80" spans="2:25" ht="30" customHeight="1" x14ac:dyDescent="0.45">
      <c r="B80" s="45" t="s">
        <v>1495</v>
      </c>
      <c r="C80" s="9" t="s">
        <v>10</v>
      </c>
      <c r="D80" s="10" t="s">
        <v>1548</v>
      </c>
      <c r="E80" s="10" t="s">
        <v>27</v>
      </c>
      <c r="F80" s="11">
        <v>46142</v>
      </c>
      <c r="G80" s="12" t="s">
        <v>1550</v>
      </c>
      <c r="H80" s="12" t="s">
        <v>1549</v>
      </c>
      <c r="I80" s="40">
        <v>89</v>
      </c>
      <c r="J80" s="15" t="s">
        <v>41</v>
      </c>
      <c r="K80" s="15" t="s">
        <v>41</v>
      </c>
      <c r="L80" s="14" t="s">
        <v>1559</v>
      </c>
      <c r="M80" s="41" t="s">
        <v>29</v>
      </c>
      <c r="N80" s="16"/>
      <c r="O80" s="15"/>
      <c r="P80" s="17"/>
      <c r="Q80" s="17"/>
      <c r="R80" s="18"/>
    </row>
    <row r="81" spans="2:18" ht="30" customHeight="1" x14ac:dyDescent="0.45">
      <c r="B81" s="45" t="s">
        <v>1495</v>
      </c>
      <c r="C81" s="9" t="s">
        <v>10</v>
      </c>
      <c r="D81" s="10" t="s">
        <v>1551</v>
      </c>
      <c r="E81" s="10" t="s">
        <v>28</v>
      </c>
      <c r="F81" s="11">
        <v>46141</v>
      </c>
      <c r="G81" s="12" t="s">
        <v>1552</v>
      </c>
      <c r="H81" s="12" t="s">
        <v>1553</v>
      </c>
      <c r="I81" s="15" t="s">
        <v>41</v>
      </c>
      <c r="J81" s="15" t="s">
        <v>41</v>
      </c>
      <c r="K81" s="15" t="s">
        <v>41</v>
      </c>
      <c r="L81" s="14" t="s">
        <v>1554</v>
      </c>
      <c r="M81" s="41" t="s">
        <v>29</v>
      </c>
      <c r="N81" s="16"/>
      <c r="O81" s="15"/>
      <c r="P81" s="17"/>
      <c r="Q81" s="17"/>
      <c r="R81" s="18"/>
    </row>
    <row r="82" spans="2:18" ht="30" customHeight="1" x14ac:dyDescent="0.45">
      <c r="B82" s="45" t="s">
        <v>1495</v>
      </c>
      <c r="C82" s="9" t="s">
        <v>19</v>
      </c>
      <c r="D82" s="10" t="s">
        <v>30</v>
      </c>
      <c r="E82" s="10" t="s">
        <v>27</v>
      </c>
      <c r="F82" s="11">
        <v>46140</v>
      </c>
      <c r="G82" s="12" t="s">
        <v>1508</v>
      </c>
      <c r="H82" s="12" t="s">
        <v>1509</v>
      </c>
      <c r="I82" s="15" t="s">
        <v>41</v>
      </c>
      <c r="J82" s="15" t="s">
        <v>41</v>
      </c>
      <c r="K82" s="15" t="s">
        <v>41</v>
      </c>
      <c r="L82" s="14" t="s">
        <v>1555</v>
      </c>
      <c r="M82" s="41" t="s">
        <v>29</v>
      </c>
      <c r="N82" s="16"/>
      <c r="O82" s="15"/>
      <c r="P82" s="17"/>
      <c r="Q82" s="17"/>
      <c r="R82" s="18"/>
    </row>
    <row r="83" spans="2:18" ht="30" customHeight="1" x14ac:dyDescent="0.45">
      <c r="B83" s="45" t="s">
        <v>1494</v>
      </c>
      <c r="C83" s="9" t="s">
        <v>15</v>
      </c>
      <c r="D83" s="10" t="s">
        <v>182</v>
      </c>
      <c r="E83" s="10" t="s">
        <v>27</v>
      </c>
      <c r="F83" s="11">
        <v>46136</v>
      </c>
      <c r="G83" s="12" t="s">
        <v>1462</v>
      </c>
      <c r="H83" s="12" t="s">
        <v>1463</v>
      </c>
      <c r="I83" s="15" t="s">
        <v>41</v>
      </c>
      <c r="J83" s="15" t="s">
        <v>41</v>
      </c>
      <c r="K83" s="15" t="s">
        <v>41</v>
      </c>
      <c r="L83" s="14" t="s">
        <v>1481</v>
      </c>
      <c r="M83" s="41" t="s">
        <v>29</v>
      </c>
      <c r="N83" s="16"/>
      <c r="O83" s="15"/>
      <c r="P83" s="17"/>
      <c r="Q83" s="17"/>
      <c r="R83" s="18"/>
    </row>
    <row r="84" spans="2:18" ht="30" customHeight="1" x14ac:dyDescent="0.45">
      <c r="B84" s="45" t="s">
        <v>1494</v>
      </c>
      <c r="C84" s="9" t="s">
        <v>16</v>
      </c>
      <c r="D84" s="10" t="s">
        <v>1492</v>
      </c>
      <c r="E84" s="10" t="s">
        <v>27</v>
      </c>
      <c r="F84" s="11">
        <v>46134</v>
      </c>
      <c r="G84" s="12" t="s">
        <v>1478</v>
      </c>
      <c r="H84" s="12" t="s">
        <v>1050</v>
      </c>
      <c r="I84" s="40">
        <v>300</v>
      </c>
      <c r="J84" s="15">
        <v>4.7</v>
      </c>
      <c r="K84" s="15">
        <v>16.399999999999999</v>
      </c>
      <c r="L84" s="14" t="s">
        <v>1482</v>
      </c>
      <c r="M84" s="41" t="s">
        <v>29</v>
      </c>
      <c r="N84" s="16"/>
      <c r="O84" s="15" t="s">
        <v>1477</v>
      </c>
      <c r="P84" s="17"/>
      <c r="Q84" s="17"/>
      <c r="R84" s="18"/>
    </row>
    <row r="85" spans="2:18" ht="30" customHeight="1" x14ac:dyDescent="0.45">
      <c r="B85" s="45" t="s">
        <v>1494</v>
      </c>
      <c r="C85" s="9" t="s">
        <v>12</v>
      </c>
      <c r="D85" s="10" t="s">
        <v>30</v>
      </c>
      <c r="E85" s="10" t="s">
        <v>27</v>
      </c>
      <c r="F85" s="11">
        <v>46136</v>
      </c>
      <c r="G85" s="12" t="s">
        <v>1464</v>
      </c>
      <c r="H85" s="12" t="s">
        <v>1465</v>
      </c>
      <c r="I85" s="15" t="s">
        <v>41</v>
      </c>
      <c r="J85" s="15" t="s">
        <v>41</v>
      </c>
      <c r="K85" s="15" t="s">
        <v>41</v>
      </c>
      <c r="L85" s="14" t="s">
        <v>1483</v>
      </c>
      <c r="M85" s="41" t="s">
        <v>29</v>
      </c>
      <c r="N85" s="16"/>
      <c r="O85" s="15"/>
      <c r="P85" s="17"/>
      <c r="Q85" s="17"/>
      <c r="R85" s="18"/>
    </row>
    <row r="86" spans="2:18" ht="30" customHeight="1" x14ac:dyDescent="0.45">
      <c r="B86" s="45" t="s">
        <v>1494</v>
      </c>
      <c r="C86" s="9" t="s">
        <v>17</v>
      </c>
      <c r="D86" s="10" t="s">
        <v>1466</v>
      </c>
      <c r="E86" s="10" t="s">
        <v>27</v>
      </c>
      <c r="F86" s="11">
        <v>46135</v>
      </c>
      <c r="G86" s="12" t="s">
        <v>1467</v>
      </c>
      <c r="H86" s="12" t="s">
        <v>1468</v>
      </c>
      <c r="I86" s="15" t="s">
        <v>41</v>
      </c>
      <c r="J86" s="15" t="s">
        <v>41</v>
      </c>
      <c r="K86" s="15" t="s">
        <v>41</v>
      </c>
      <c r="L86" s="14" t="s">
        <v>1484</v>
      </c>
      <c r="M86" s="41" t="s">
        <v>29</v>
      </c>
      <c r="N86" s="16"/>
      <c r="O86" s="15"/>
      <c r="P86" s="17"/>
      <c r="Q86" s="17"/>
      <c r="R86" s="18"/>
    </row>
    <row r="87" spans="2:18" ht="30" customHeight="1" x14ac:dyDescent="0.45">
      <c r="B87" s="45" t="s">
        <v>1494</v>
      </c>
      <c r="C87" s="9" t="s">
        <v>17</v>
      </c>
      <c r="D87" s="10" t="s">
        <v>30</v>
      </c>
      <c r="E87" s="10" t="s">
        <v>27</v>
      </c>
      <c r="F87" s="11">
        <v>46133</v>
      </c>
      <c r="G87" s="12" t="s">
        <v>1469</v>
      </c>
      <c r="H87" s="12" t="s">
        <v>1470</v>
      </c>
      <c r="I87" s="15" t="s">
        <v>41</v>
      </c>
      <c r="J87" s="15" t="s">
        <v>41</v>
      </c>
      <c r="K87" s="15" t="s">
        <v>41</v>
      </c>
      <c r="L87" s="14" t="s">
        <v>1479</v>
      </c>
      <c r="M87" s="41" t="s">
        <v>29</v>
      </c>
      <c r="N87" s="16"/>
      <c r="O87" s="15"/>
      <c r="P87" s="17"/>
      <c r="Q87" s="17"/>
      <c r="R87" s="18"/>
    </row>
    <row r="88" spans="2:18" ht="30" customHeight="1" x14ac:dyDescent="0.45">
      <c r="B88" s="45" t="s">
        <v>1494</v>
      </c>
      <c r="C88" s="9" t="s">
        <v>9</v>
      </c>
      <c r="D88" s="10" t="s">
        <v>30</v>
      </c>
      <c r="E88" s="10" t="s">
        <v>27</v>
      </c>
      <c r="F88" s="11">
        <v>46132</v>
      </c>
      <c r="G88" s="12" t="s">
        <v>1471</v>
      </c>
      <c r="H88" s="12" t="s">
        <v>405</v>
      </c>
      <c r="I88" s="15" t="s">
        <v>41</v>
      </c>
      <c r="J88" s="15" t="s">
        <v>41</v>
      </c>
      <c r="K88" s="15" t="s">
        <v>41</v>
      </c>
      <c r="L88" s="14" t="s">
        <v>1485</v>
      </c>
      <c r="M88" s="41" t="s">
        <v>29</v>
      </c>
      <c r="N88" s="16"/>
      <c r="O88" s="15"/>
      <c r="P88" s="17"/>
      <c r="Q88" s="17"/>
      <c r="R88" s="18"/>
    </row>
    <row r="89" spans="2:18" ht="30" customHeight="1" x14ac:dyDescent="0.45">
      <c r="B89" s="45" t="s">
        <v>1494</v>
      </c>
      <c r="C89" s="9" t="s">
        <v>10</v>
      </c>
      <c r="D89" s="10" t="s">
        <v>95</v>
      </c>
      <c r="E89" s="10" t="s">
        <v>27</v>
      </c>
      <c r="F89" s="11">
        <v>46135</v>
      </c>
      <c r="G89" s="12" t="s">
        <v>1472</v>
      </c>
      <c r="H89" s="12" t="s">
        <v>1473</v>
      </c>
      <c r="I89" s="40">
        <v>880</v>
      </c>
      <c r="J89" s="15">
        <f>750/60</f>
        <v>12.5</v>
      </c>
      <c r="K89" s="15" t="s">
        <v>41</v>
      </c>
      <c r="L89" s="14" t="s">
        <v>1486</v>
      </c>
      <c r="M89" s="41" t="s">
        <v>29</v>
      </c>
      <c r="N89" s="16"/>
      <c r="O89" s="15" t="s">
        <v>1476</v>
      </c>
      <c r="P89" s="17"/>
      <c r="Q89" s="17"/>
      <c r="R89" s="18"/>
    </row>
    <row r="90" spans="2:18" ht="30" customHeight="1" x14ac:dyDescent="0.45">
      <c r="B90" s="45" t="s">
        <v>1494</v>
      </c>
      <c r="C90" s="9" t="s">
        <v>10</v>
      </c>
      <c r="D90" s="10" t="s">
        <v>110</v>
      </c>
      <c r="E90" s="10" t="s">
        <v>27</v>
      </c>
      <c r="F90" s="11">
        <v>46132</v>
      </c>
      <c r="G90" s="12" t="s">
        <v>1474</v>
      </c>
      <c r="H90" s="12" t="s">
        <v>1475</v>
      </c>
      <c r="I90" s="39">
        <v>0</v>
      </c>
      <c r="J90" s="15" t="s">
        <v>41</v>
      </c>
      <c r="K90" s="15" t="s">
        <v>41</v>
      </c>
      <c r="L90" s="14" t="s">
        <v>1480</v>
      </c>
      <c r="M90" s="41" t="s">
        <v>29</v>
      </c>
      <c r="N90" s="16"/>
      <c r="O90" s="15"/>
      <c r="P90" s="17"/>
      <c r="Q90" s="17"/>
      <c r="R90" s="18"/>
    </row>
    <row r="91" spans="2:18" ht="30" customHeight="1" x14ac:dyDescent="0.45">
      <c r="B91" s="45" t="s">
        <v>1389</v>
      </c>
      <c r="C91" s="9" t="s">
        <v>14</v>
      </c>
      <c r="D91" s="10" t="s">
        <v>30</v>
      </c>
      <c r="E91" s="10" t="s">
        <v>27</v>
      </c>
      <c r="F91" s="11">
        <v>46127</v>
      </c>
      <c r="G91" s="12" t="s">
        <v>1390</v>
      </c>
      <c r="H91" s="12" t="s">
        <v>1171</v>
      </c>
      <c r="I91" s="39">
        <v>0</v>
      </c>
      <c r="J91" s="15" t="s">
        <v>41</v>
      </c>
      <c r="K91" s="15" t="s">
        <v>41</v>
      </c>
      <c r="L91" s="14" t="s">
        <v>1412</v>
      </c>
      <c r="M91" s="41" t="s">
        <v>29</v>
      </c>
      <c r="N91" s="16"/>
      <c r="O91" s="15"/>
      <c r="P91" s="17"/>
      <c r="Q91" s="17"/>
      <c r="R91" s="18"/>
    </row>
    <row r="92" spans="2:18" ht="30" customHeight="1" x14ac:dyDescent="0.45">
      <c r="B92" s="45" t="s">
        <v>1389</v>
      </c>
      <c r="C92" s="9" t="s">
        <v>14</v>
      </c>
      <c r="D92" s="10" t="s">
        <v>30</v>
      </c>
      <c r="E92" s="10" t="s">
        <v>27</v>
      </c>
      <c r="F92" s="11">
        <v>46126</v>
      </c>
      <c r="G92" s="12" t="s">
        <v>1391</v>
      </c>
      <c r="H92" s="12" t="s">
        <v>1392</v>
      </c>
      <c r="I92" s="39">
        <v>0</v>
      </c>
      <c r="J92" s="15" t="s">
        <v>41</v>
      </c>
      <c r="K92" s="15" t="s">
        <v>41</v>
      </c>
      <c r="L92" s="14" t="s">
        <v>1413</v>
      </c>
      <c r="M92" s="41" t="s">
        <v>29</v>
      </c>
      <c r="N92" s="16"/>
      <c r="O92" s="15"/>
      <c r="P92" s="17"/>
      <c r="Q92" s="17"/>
      <c r="R92" s="18"/>
    </row>
    <row r="93" spans="2:18" ht="30" customHeight="1" x14ac:dyDescent="0.45">
      <c r="B93" s="45" t="s">
        <v>1389</v>
      </c>
      <c r="C93" s="9" t="s">
        <v>14</v>
      </c>
      <c r="D93" s="10" t="s">
        <v>30</v>
      </c>
      <c r="E93" s="10" t="s">
        <v>27</v>
      </c>
      <c r="F93" s="11">
        <v>46126</v>
      </c>
      <c r="G93" s="12" t="s">
        <v>1393</v>
      </c>
      <c r="H93" s="12" t="s">
        <v>994</v>
      </c>
      <c r="I93" s="39">
        <v>0</v>
      </c>
      <c r="J93" s="15" t="s">
        <v>41</v>
      </c>
      <c r="K93" s="15" t="s">
        <v>41</v>
      </c>
      <c r="L93" s="14" t="s">
        <v>1414</v>
      </c>
      <c r="M93" s="41" t="s">
        <v>29</v>
      </c>
      <c r="N93" s="16"/>
      <c r="O93" s="15"/>
      <c r="P93" s="17"/>
      <c r="Q93" s="17"/>
      <c r="R93" s="18"/>
    </row>
    <row r="94" spans="2:18" ht="30" customHeight="1" x14ac:dyDescent="0.45">
      <c r="B94" s="45" t="s">
        <v>1389</v>
      </c>
      <c r="C94" s="9" t="s">
        <v>15</v>
      </c>
      <c r="D94" s="10" t="s">
        <v>30</v>
      </c>
      <c r="E94" s="10" t="s">
        <v>27</v>
      </c>
      <c r="F94" s="11">
        <v>46129</v>
      </c>
      <c r="G94" s="12" t="s">
        <v>1394</v>
      </c>
      <c r="H94" s="12" t="s">
        <v>1395</v>
      </c>
      <c r="I94" s="39">
        <v>0</v>
      </c>
      <c r="J94" s="15" t="s">
        <v>41</v>
      </c>
      <c r="K94" s="15" t="s">
        <v>41</v>
      </c>
      <c r="L94" s="14" t="s">
        <v>1415</v>
      </c>
      <c r="M94" s="41" t="s">
        <v>29</v>
      </c>
      <c r="N94" s="16"/>
      <c r="O94" s="15"/>
      <c r="P94" s="17"/>
      <c r="Q94" s="17"/>
      <c r="R94" s="18"/>
    </row>
    <row r="95" spans="2:18" ht="30" customHeight="1" x14ac:dyDescent="0.45">
      <c r="B95" s="45" t="s">
        <v>1389</v>
      </c>
      <c r="C95" s="9" t="s">
        <v>16</v>
      </c>
      <c r="D95" s="10" t="s">
        <v>30</v>
      </c>
      <c r="E95" s="10" t="s">
        <v>27</v>
      </c>
      <c r="F95" s="11">
        <v>46129</v>
      </c>
      <c r="G95" s="12" t="s">
        <v>1396</v>
      </c>
      <c r="H95" s="12" t="s">
        <v>1440</v>
      </c>
      <c r="I95" s="40">
        <v>550</v>
      </c>
      <c r="J95" s="15" t="s">
        <v>41</v>
      </c>
      <c r="K95" s="15" t="s">
        <v>41</v>
      </c>
      <c r="L95" s="14" t="s">
        <v>1416</v>
      </c>
      <c r="M95" s="41" t="s">
        <v>29</v>
      </c>
      <c r="N95" s="16"/>
      <c r="O95" s="15"/>
      <c r="P95" s="17"/>
      <c r="Q95" s="17"/>
      <c r="R95" s="18"/>
    </row>
    <row r="96" spans="2:18" ht="30" customHeight="1" x14ac:dyDescent="0.45">
      <c r="B96" s="45" t="s">
        <v>1389</v>
      </c>
      <c r="C96" s="9" t="s">
        <v>16</v>
      </c>
      <c r="D96" s="9" t="s">
        <v>151</v>
      </c>
      <c r="E96" s="10" t="s">
        <v>27</v>
      </c>
      <c r="F96" s="11">
        <v>46128</v>
      </c>
      <c r="G96" s="12" t="s">
        <v>1397</v>
      </c>
      <c r="H96" s="12" t="s">
        <v>1398</v>
      </c>
      <c r="I96" s="40">
        <v>70</v>
      </c>
      <c r="J96" s="15" t="s">
        <v>41</v>
      </c>
      <c r="K96" s="15" t="s">
        <v>41</v>
      </c>
      <c r="L96" s="14" t="s">
        <v>1441</v>
      </c>
      <c r="M96" s="41" t="s">
        <v>29</v>
      </c>
      <c r="N96" s="16"/>
      <c r="O96" s="15"/>
      <c r="P96" s="17"/>
      <c r="Q96" s="17"/>
      <c r="R96" s="18"/>
    </row>
    <row r="97" spans="2:18" ht="30" customHeight="1" x14ac:dyDescent="0.45">
      <c r="B97" s="45" t="s">
        <v>1389</v>
      </c>
      <c r="C97" s="9" t="s">
        <v>12</v>
      </c>
      <c r="D97" s="10" t="s">
        <v>30</v>
      </c>
      <c r="E97" s="10" t="s">
        <v>27</v>
      </c>
      <c r="F97" s="11">
        <v>46129</v>
      </c>
      <c r="G97" s="12" t="s">
        <v>1399</v>
      </c>
      <c r="H97" s="12" t="s">
        <v>1400</v>
      </c>
      <c r="I97" s="39">
        <v>0</v>
      </c>
      <c r="J97" s="15" t="s">
        <v>41</v>
      </c>
      <c r="K97" s="15" t="s">
        <v>41</v>
      </c>
      <c r="L97" s="14" t="s">
        <v>1442</v>
      </c>
      <c r="M97" s="41" t="s">
        <v>29</v>
      </c>
      <c r="N97" s="16"/>
      <c r="O97" s="15"/>
      <c r="P97" s="17"/>
      <c r="Q97" s="17"/>
      <c r="R97" s="18"/>
    </row>
    <row r="98" spans="2:18" ht="30" customHeight="1" x14ac:dyDescent="0.45">
      <c r="B98" s="45" t="s">
        <v>1389</v>
      </c>
      <c r="C98" s="9" t="s">
        <v>17</v>
      </c>
      <c r="D98" s="9" t="s">
        <v>110</v>
      </c>
      <c r="E98" s="10" t="s">
        <v>27</v>
      </c>
      <c r="F98" s="11">
        <v>46128</v>
      </c>
      <c r="G98" s="12" t="s">
        <v>1401</v>
      </c>
      <c r="H98" s="12" t="s">
        <v>452</v>
      </c>
      <c r="I98" s="39">
        <v>0</v>
      </c>
      <c r="J98" s="15" t="s">
        <v>41</v>
      </c>
      <c r="K98" s="15" t="s">
        <v>41</v>
      </c>
      <c r="L98" s="14" t="s">
        <v>1417</v>
      </c>
      <c r="M98" s="41" t="s">
        <v>29</v>
      </c>
      <c r="N98" s="16"/>
      <c r="O98" s="15"/>
      <c r="P98" s="17"/>
      <c r="Q98" s="17"/>
      <c r="R98" s="18"/>
    </row>
    <row r="99" spans="2:18" ht="30" customHeight="1" x14ac:dyDescent="0.45">
      <c r="B99" s="45" t="s">
        <v>1389</v>
      </c>
      <c r="C99" s="9" t="s">
        <v>17</v>
      </c>
      <c r="D99" s="10" t="s">
        <v>30</v>
      </c>
      <c r="E99" s="10" t="s">
        <v>27</v>
      </c>
      <c r="F99" s="11">
        <v>46126</v>
      </c>
      <c r="G99" s="12" t="s">
        <v>1402</v>
      </c>
      <c r="H99" s="12" t="s">
        <v>1403</v>
      </c>
      <c r="I99" s="39">
        <v>0</v>
      </c>
      <c r="J99" s="15" t="s">
        <v>41</v>
      </c>
      <c r="K99" s="15" t="s">
        <v>41</v>
      </c>
      <c r="L99" s="14" t="s">
        <v>1418</v>
      </c>
      <c r="M99" s="41" t="s">
        <v>29</v>
      </c>
      <c r="N99" s="16"/>
      <c r="O99" s="15"/>
      <c r="P99" s="17"/>
      <c r="Q99" s="17"/>
      <c r="R99" s="18"/>
    </row>
    <row r="100" spans="2:18" ht="30" customHeight="1" x14ac:dyDescent="0.45">
      <c r="B100" s="45" t="s">
        <v>1389</v>
      </c>
      <c r="C100" s="9" t="s">
        <v>9</v>
      </c>
      <c r="D100" s="9" t="s">
        <v>95</v>
      </c>
      <c r="E100" s="10" t="s">
        <v>27</v>
      </c>
      <c r="F100" s="11">
        <v>46128</v>
      </c>
      <c r="G100" s="12" t="s">
        <v>1404</v>
      </c>
      <c r="H100" s="12" t="s">
        <v>1405</v>
      </c>
      <c r="I100" s="39">
        <v>0</v>
      </c>
      <c r="J100" s="15" t="s">
        <v>41</v>
      </c>
      <c r="K100" s="15" t="s">
        <v>41</v>
      </c>
      <c r="L100" s="14" t="s">
        <v>1419</v>
      </c>
      <c r="M100" s="41" t="s">
        <v>29</v>
      </c>
      <c r="N100" s="16"/>
      <c r="O100" s="15"/>
      <c r="P100" s="17"/>
      <c r="Q100" s="17"/>
      <c r="R100" s="18"/>
    </row>
    <row r="101" spans="2:18" ht="30" customHeight="1" x14ac:dyDescent="0.45">
      <c r="B101" s="45" t="s">
        <v>1389</v>
      </c>
      <c r="C101" s="9" t="s">
        <v>10</v>
      </c>
      <c r="D101" s="9" t="s">
        <v>357</v>
      </c>
      <c r="E101" s="10" t="s">
        <v>27</v>
      </c>
      <c r="F101" s="11">
        <v>46128</v>
      </c>
      <c r="G101" s="12" t="s">
        <v>1408</v>
      </c>
      <c r="H101" s="12" t="s">
        <v>1409</v>
      </c>
      <c r="I101" s="39">
        <v>0</v>
      </c>
      <c r="J101" s="15" t="s">
        <v>41</v>
      </c>
      <c r="K101" s="15" t="s">
        <v>41</v>
      </c>
      <c r="L101" s="14" t="s">
        <v>1421</v>
      </c>
      <c r="M101" s="41" t="s">
        <v>29</v>
      </c>
      <c r="N101" s="16"/>
      <c r="O101" s="15"/>
      <c r="P101" s="17"/>
      <c r="Q101" s="17"/>
      <c r="R101" s="18"/>
    </row>
    <row r="102" spans="2:18" ht="30" customHeight="1" x14ac:dyDescent="0.45">
      <c r="B102" s="45" t="s">
        <v>1389</v>
      </c>
      <c r="C102" s="9" t="s">
        <v>10</v>
      </c>
      <c r="D102" s="9" t="s">
        <v>226</v>
      </c>
      <c r="E102" s="10" t="s">
        <v>27</v>
      </c>
      <c r="F102" s="11">
        <v>46127</v>
      </c>
      <c r="G102" s="12" t="s">
        <v>1406</v>
      </c>
      <c r="H102" s="12" t="s">
        <v>1407</v>
      </c>
      <c r="I102" s="39">
        <v>0</v>
      </c>
      <c r="J102" s="15" t="s">
        <v>41</v>
      </c>
      <c r="K102" s="15" t="s">
        <v>41</v>
      </c>
      <c r="L102" s="14" t="s">
        <v>1420</v>
      </c>
      <c r="M102" s="41" t="s">
        <v>29</v>
      </c>
      <c r="N102" s="16"/>
      <c r="O102" s="15"/>
      <c r="P102" s="17"/>
      <c r="Q102" s="17"/>
      <c r="R102" s="18"/>
    </row>
    <row r="103" spans="2:18" ht="30" customHeight="1" x14ac:dyDescent="0.45">
      <c r="B103" s="45" t="s">
        <v>1389</v>
      </c>
      <c r="C103" s="9" t="s">
        <v>10</v>
      </c>
      <c r="D103" s="9" t="s">
        <v>1071</v>
      </c>
      <c r="E103" s="10" t="s">
        <v>27</v>
      </c>
      <c r="F103" s="11">
        <v>46126</v>
      </c>
      <c r="G103" s="12" t="s">
        <v>1410</v>
      </c>
      <c r="H103" s="12" t="s">
        <v>1411</v>
      </c>
      <c r="I103" s="40">
        <v>21</v>
      </c>
      <c r="J103" s="15" t="s">
        <v>41</v>
      </c>
      <c r="K103" s="15" t="s">
        <v>41</v>
      </c>
      <c r="L103" s="14" t="s">
        <v>1422</v>
      </c>
      <c r="M103" s="41" t="s">
        <v>29</v>
      </c>
      <c r="N103" s="16"/>
      <c r="O103" s="15"/>
      <c r="P103" s="17"/>
      <c r="Q103" s="17"/>
      <c r="R103" s="18"/>
    </row>
    <row r="104" spans="2:18" ht="30" customHeight="1" x14ac:dyDescent="0.45">
      <c r="B104" s="45" t="s">
        <v>1389</v>
      </c>
      <c r="C104" s="9" t="s">
        <v>19</v>
      </c>
      <c r="D104" s="9" t="s">
        <v>110</v>
      </c>
      <c r="E104" s="10" t="s">
        <v>27</v>
      </c>
      <c r="F104" s="11">
        <v>46126</v>
      </c>
      <c r="G104" s="12" t="s">
        <v>1443</v>
      </c>
      <c r="H104" s="12" t="s">
        <v>1444</v>
      </c>
      <c r="I104" s="39">
        <v>0</v>
      </c>
      <c r="J104" s="15" t="s">
        <v>41</v>
      </c>
      <c r="K104" s="15" t="s">
        <v>41</v>
      </c>
      <c r="L104" s="14" t="s">
        <v>1423</v>
      </c>
      <c r="M104" s="41" t="s">
        <v>29</v>
      </c>
      <c r="N104" s="16"/>
      <c r="O104" s="15"/>
      <c r="P104" s="17"/>
      <c r="Q104" s="17"/>
      <c r="R104" s="18"/>
    </row>
    <row r="105" spans="2:18" ht="30" customHeight="1" x14ac:dyDescent="0.45">
      <c r="B105" s="45" t="s">
        <v>1386</v>
      </c>
      <c r="C105" s="9" t="s">
        <v>14</v>
      </c>
      <c r="D105" s="9"/>
      <c r="E105" s="10" t="s">
        <v>27</v>
      </c>
      <c r="F105" s="11">
        <v>46118</v>
      </c>
      <c r="G105" s="12" t="s">
        <v>1341</v>
      </c>
      <c r="H105" s="12" t="s">
        <v>1342</v>
      </c>
      <c r="I105" s="39">
        <v>0</v>
      </c>
      <c r="J105" s="15"/>
      <c r="K105" s="15"/>
      <c r="L105" s="14" t="s">
        <v>1343</v>
      </c>
      <c r="M105" s="41" t="s">
        <v>29</v>
      </c>
      <c r="N105" s="16"/>
      <c r="O105" s="15"/>
      <c r="P105" s="17"/>
      <c r="Q105" s="17"/>
      <c r="R105" s="18"/>
    </row>
    <row r="106" spans="2:18" ht="30" customHeight="1" x14ac:dyDescent="0.45">
      <c r="B106" s="45" t="s">
        <v>1386</v>
      </c>
      <c r="C106" s="9" t="s">
        <v>12</v>
      </c>
      <c r="D106" s="9"/>
      <c r="E106" s="10" t="s">
        <v>27</v>
      </c>
      <c r="F106" s="11">
        <v>46121</v>
      </c>
      <c r="G106" s="12" t="s">
        <v>1376</v>
      </c>
      <c r="H106" s="12" t="s">
        <v>1377</v>
      </c>
      <c r="I106" s="39">
        <v>0</v>
      </c>
      <c r="J106" s="15"/>
      <c r="K106" s="15"/>
      <c r="L106" s="14" t="s">
        <v>1375</v>
      </c>
      <c r="M106" s="41" t="s">
        <v>29</v>
      </c>
      <c r="N106" s="16"/>
      <c r="O106" s="15"/>
      <c r="P106" s="17"/>
      <c r="Q106" s="17"/>
      <c r="R106" s="18"/>
    </row>
    <row r="107" spans="2:18" ht="30" customHeight="1" x14ac:dyDescent="0.45">
      <c r="B107" s="45" t="s">
        <v>1386</v>
      </c>
      <c r="C107" s="9" t="s">
        <v>12</v>
      </c>
      <c r="D107" s="9"/>
      <c r="E107" s="10" t="s">
        <v>27</v>
      </c>
      <c r="F107" s="11">
        <v>46121</v>
      </c>
      <c r="G107" s="12" t="s">
        <v>1373</v>
      </c>
      <c r="H107" s="12" t="s">
        <v>1374</v>
      </c>
      <c r="I107" s="39">
        <v>0</v>
      </c>
      <c r="J107" s="15"/>
      <c r="K107" s="15"/>
      <c r="L107" s="14" t="s">
        <v>1382</v>
      </c>
      <c r="M107" s="41" t="s">
        <v>29</v>
      </c>
      <c r="N107" s="16"/>
      <c r="O107" s="15"/>
      <c r="P107" s="17"/>
      <c r="Q107" s="17"/>
      <c r="R107" s="18"/>
    </row>
    <row r="108" spans="2:18" ht="30" customHeight="1" x14ac:dyDescent="0.45">
      <c r="B108" s="45" t="s">
        <v>1386</v>
      </c>
      <c r="C108" s="9" t="s">
        <v>12</v>
      </c>
      <c r="D108" s="9"/>
      <c r="E108" s="10" t="s">
        <v>27</v>
      </c>
      <c r="F108" s="11">
        <v>46121</v>
      </c>
      <c r="G108" s="12" t="s">
        <v>1354</v>
      </c>
      <c r="H108" s="12" t="s">
        <v>1353</v>
      </c>
      <c r="I108" s="39">
        <v>0</v>
      </c>
      <c r="J108" s="15"/>
      <c r="K108" s="15"/>
      <c r="L108" s="14" t="s">
        <v>1352</v>
      </c>
      <c r="M108" s="41" t="s">
        <v>29</v>
      </c>
      <c r="N108" s="16"/>
      <c r="O108" s="15"/>
      <c r="P108" s="17"/>
      <c r="Q108" s="17"/>
      <c r="R108" s="18"/>
    </row>
    <row r="109" spans="2:18" ht="30" customHeight="1" x14ac:dyDescent="0.45">
      <c r="B109" s="45" t="s">
        <v>1386</v>
      </c>
      <c r="C109" s="9" t="s">
        <v>12</v>
      </c>
      <c r="D109" s="9"/>
      <c r="E109" s="10" t="s">
        <v>1381</v>
      </c>
      <c r="F109" s="11">
        <v>46119</v>
      </c>
      <c r="G109" s="12" t="s">
        <v>1369</v>
      </c>
      <c r="H109" s="12" t="s">
        <v>154</v>
      </c>
      <c r="I109" s="39">
        <v>0</v>
      </c>
      <c r="J109" s="15"/>
      <c r="K109" s="15"/>
      <c r="L109" s="14" t="s">
        <v>1370</v>
      </c>
      <c r="M109" s="41" t="s">
        <v>29</v>
      </c>
      <c r="N109" s="16"/>
      <c r="O109" s="15"/>
      <c r="P109" s="17"/>
      <c r="Q109" s="17"/>
      <c r="R109" s="18"/>
    </row>
    <row r="110" spans="2:18" ht="30" customHeight="1" x14ac:dyDescent="0.45">
      <c r="B110" s="45" t="s">
        <v>1386</v>
      </c>
      <c r="C110" s="9" t="s">
        <v>17</v>
      </c>
      <c r="D110" s="9"/>
      <c r="E110" s="10" t="s">
        <v>27</v>
      </c>
      <c r="F110" s="11">
        <v>46122</v>
      </c>
      <c r="G110" s="12" t="s">
        <v>1363</v>
      </c>
      <c r="H110" s="12" t="s">
        <v>1364</v>
      </c>
      <c r="I110" s="39">
        <v>0</v>
      </c>
      <c r="J110" s="15"/>
      <c r="K110" s="15"/>
      <c r="L110" s="14" t="s">
        <v>1365</v>
      </c>
      <c r="M110" s="41" t="s">
        <v>29</v>
      </c>
      <c r="N110" s="16"/>
      <c r="O110" s="15"/>
      <c r="P110" s="17"/>
      <c r="Q110" s="17"/>
      <c r="R110" s="18" t="s">
        <v>1366</v>
      </c>
    </row>
    <row r="111" spans="2:18" ht="30" customHeight="1" x14ac:dyDescent="0.45">
      <c r="B111" s="45" t="s">
        <v>1386</v>
      </c>
      <c r="C111" s="9" t="s">
        <v>17</v>
      </c>
      <c r="D111" s="9"/>
      <c r="E111" s="10" t="s">
        <v>27</v>
      </c>
      <c r="F111" s="11">
        <v>46119</v>
      </c>
      <c r="G111" s="12" t="s">
        <v>1371</v>
      </c>
      <c r="H111" s="12" t="s">
        <v>486</v>
      </c>
      <c r="I111" s="39">
        <v>0</v>
      </c>
      <c r="J111" s="15"/>
      <c r="K111" s="15"/>
      <c r="L111" s="14" t="s">
        <v>1372</v>
      </c>
      <c r="M111" s="41" t="s">
        <v>29</v>
      </c>
      <c r="N111" s="16"/>
      <c r="O111" s="15"/>
      <c r="P111" s="17"/>
      <c r="Q111" s="17"/>
      <c r="R111" s="18"/>
    </row>
    <row r="112" spans="2:18" ht="30" customHeight="1" x14ac:dyDescent="0.45">
      <c r="B112" s="45" t="s">
        <v>1386</v>
      </c>
      <c r="C112" s="9" t="s">
        <v>9</v>
      </c>
      <c r="D112" s="9"/>
      <c r="E112" s="10" t="s">
        <v>27</v>
      </c>
      <c r="F112" s="11">
        <v>46121</v>
      </c>
      <c r="G112" s="12" t="s">
        <v>1357</v>
      </c>
      <c r="H112" s="12" t="s">
        <v>109</v>
      </c>
      <c r="I112" s="39">
        <v>0</v>
      </c>
      <c r="J112" s="15"/>
      <c r="K112" s="15"/>
      <c r="L112" s="14" t="s">
        <v>1388</v>
      </c>
      <c r="M112" s="41" t="s">
        <v>29</v>
      </c>
      <c r="N112" s="16"/>
      <c r="O112" s="15"/>
      <c r="P112" s="17"/>
      <c r="Q112" s="17"/>
      <c r="R112" s="18"/>
    </row>
    <row r="113" spans="2:18" ht="30" customHeight="1" x14ac:dyDescent="0.45">
      <c r="B113" s="45" t="s">
        <v>1386</v>
      </c>
      <c r="C113" s="9" t="s">
        <v>10</v>
      </c>
      <c r="D113" s="9"/>
      <c r="E113" s="10" t="s">
        <v>27</v>
      </c>
      <c r="F113" s="11">
        <v>46120</v>
      </c>
      <c r="G113" s="12" t="s">
        <v>1349</v>
      </c>
      <c r="H113" s="12" t="s">
        <v>1350</v>
      </c>
      <c r="I113" s="39">
        <v>0</v>
      </c>
      <c r="J113" s="15"/>
      <c r="K113" s="15"/>
      <c r="L113" s="14" t="s">
        <v>1351</v>
      </c>
      <c r="M113" s="41" t="s">
        <v>29</v>
      </c>
      <c r="N113" s="16"/>
      <c r="O113" s="15"/>
      <c r="P113" s="17"/>
      <c r="Q113" s="17"/>
      <c r="R113" s="18"/>
    </row>
    <row r="114" spans="2:18" ht="30" customHeight="1" x14ac:dyDescent="0.45">
      <c r="B114" s="45" t="s">
        <v>1386</v>
      </c>
      <c r="C114" s="9" t="s">
        <v>10</v>
      </c>
      <c r="D114" s="9"/>
      <c r="E114" s="10" t="s">
        <v>1381</v>
      </c>
      <c r="F114" s="11">
        <v>46117</v>
      </c>
      <c r="G114" s="12" t="s">
        <v>1384</v>
      </c>
      <c r="H114" s="12" t="s">
        <v>1355</v>
      </c>
      <c r="I114" s="39">
        <v>0</v>
      </c>
      <c r="J114" s="15"/>
      <c r="K114" s="15"/>
      <c r="L114" s="14" t="s">
        <v>1356</v>
      </c>
      <c r="M114" s="41" t="s">
        <v>29</v>
      </c>
      <c r="N114" s="16"/>
      <c r="O114" s="15"/>
      <c r="P114" s="17"/>
      <c r="Q114" s="17"/>
      <c r="R114" s="18"/>
    </row>
    <row r="115" spans="2:18" ht="30" customHeight="1" x14ac:dyDescent="0.45">
      <c r="B115" s="45" t="s">
        <v>1386</v>
      </c>
      <c r="C115" s="9" t="s">
        <v>19</v>
      </c>
      <c r="D115" s="9"/>
      <c r="E115" s="10" t="s">
        <v>1381</v>
      </c>
      <c r="F115" s="11">
        <v>46121</v>
      </c>
      <c r="G115" s="12" t="s">
        <v>1378</v>
      </c>
      <c r="H115" s="12" t="s">
        <v>1379</v>
      </c>
      <c r="I115" s="39">
        <v>0</v>
      </c>
      <c r="J115" s="15"/>
      <c r="K115" s="15"/>
      <c r="L115" s="14" t="s">
        <v>1380</v>
      </c>
      <c r="M115" s="41" t="s">
        <v>29</v>
      </c>
      <c r="N115" s="16"/>
      <c r="O115" s="15"/>
      <c r="P115" s="17"/>
      <c r="Q115" s="17"/>
      <c r="R115" s="18"/>
    </row>
    <row r="116" spans="2:18" ht="30" customHeight="1" x14ac:dyDescent="0.45">
      <c r="B116" s="45" t="s">
        <v>1386</v>
      </c>
      <c r="C116" s="9" t="s">
        <v>19</v>
      </c>
      <c r="D116" s="9"/>
      <c r="E116" s="10" t="s">
        <v>27</v>
      </c>
      <c r="F116" s="11">
        <v>46121</v>
      </c>
      <c r="G116" s="12" t="s">
        <v>1367</v>
      </c>
      <c r="H116" s="12" t="s">
        <v>1368</v>
      </c>
      <c r="I116" s="39">
        <v>0</v>
      </c>
      <c r="J116" s="15"/>
      <c r="K116" s="15"/>
      <c r="L116" s="14" t="s">
        <v>1383</v>
      </c>
      <c r="M116" s="41" t="s">
        <v>29</v>
      </c>
      <c r="N116" s="16"/>
      <c r="O116" s="15"/>
      <c r="P116" s="17"/>
      <c r="Q116" s="17"/>
      <c r="R116" s="18"/>
    </row>
    <row r="117" spans="2:18" ht="30" customHeight="1" x14ac:dyDescent="0.45">
      <c r="B117" s="9" t="s">
        <v>1387</v>
      </c>
      <c r="C117" s="9" t="s">
        <v>15</v>
      </c>
      <c r="D117" s="13" t="s">
        <v>30</v>
      </c>
      <c r="E117" s="10" t="s">
        <v>27</v>
      </c>
      <c r="F117" s="11">
        <v>46112</v>
      </c>
      <c r="G117" s="12" t="s">
        <v>674</v>
      </c>
      <c r="H117" s="12" t="s">
        <v>675</v>
      </c>
      <c r="I117" s="39">
        <v>0</v>
      </c>
      <c r="J117" s="15"/>
      <c r="K117" s="15"/>
      <c r="L117" s="14" t="s">
        <v>676</v>
      </c>
      <c r="M117" s="41" t="s">
        <v>29</v>
      </c>
      <c r="N117" s="16"/>
      <c r="O117" s="15"/>
      <c r="P117" s="17"/>
      <c r="Q117" s="17"/>
      <c r="R117" s="18" t="s">
        <v>41</v>
      </c>
    </row>
    <row r="118" spans="2:18" ht="30" customHeight="1" x14ac:dyDescent="0.45">
      <c r="B118" s="9" t="s">
        <v>1387</v>
      </c>
      <c r="C118" s="9" t="s">
        <v>9</v>
      </c>
      <c r="D118" s="13" t="s">
        <v>30</v>
      </c>
      <c r="E118" s="10" t="s">
        <v>1381</v>
      </c>
      <c r="F118" s="11">
        <v>46107</v>
      </c>
      <c r="G118" s="12" t="s">
        <v>609</v>
      </c>
      <c r="H118" s="12" t="s">
        <v>475</v>
      </c>
      <c r="I118" s="39">
        <v>0</v>
      </c>
      <c r="J118" s="15"/>
      <c r="K118" s="15"/>
      <c r="L118" s="14" t="s">
        <v>610</v>
      </c>
      <c r="M118" s="41" t="s">
        <v>29</v>
      </c>
      <c r="N118" s="16"/>
      <c r="O118" s="15"/>
      <c r="P118" s="17"/>
      <c r="Q118" s="17"/>
      <c r="R118" s="18" t="s">
        <v>41</v>
      </c>
    </row>
    <row r="119" spans="2:18" ht="30" customHeight="1" x14ac:dyDescent="0.45">
      <c r="B119" s="9" t="s">
        <v>1387</v>
      </c>
      <c r="C119" s="9" t="s">
        <v>9</v>
      </c>
      <c r="D119" s="13" t="s">
        <v>30</v>
      </c>
      <c r="E119" s="10" t="s">
        <v>27</v>
      </c>
      <c r="F119" s="11">
        <v>46107</v>
      </c>
      <c r="G119" s="12" t="s">
        <v>1321</v>
      </c>
      <c r="H119" s="12" t="s">
        <v>1322</v>
      </c>
      <c r="I119" s="39">
        <v>0</v>
      </c>
      <c r="J119" s="15"/>
      <c r="K119" s="15"/>
      <c r="L119" s="14" t="s">
        <v>1323</v>
      </c>
      <c r="M119" s="41" t="s">
        <v>29</v>
      </c>
      <c r="N119" s="16"/>
      <c r="O119" s="15"/>
      <c r="P119" s="17"/>
      <c r="Q119" s="17"/>
      <c r="R119" s="18"/>
    </row>
    <row r="120" spans="2:18" ht="30" customHeight="1" x14ac:dyDescent="0.45">
      <c r="B120" s="9" t="s">
        <v>1387</v>
      </c>
      <c r="C120" s="9" t="s">
        <v>19</v>
      </c>
      <c r="D120" s="13" t="s">
        <v>30</v>
      </c>
      <c r="E120" s="10" t="s">
        <v>27</v>
      </c>
      <c r="F120" s="11">
        <v>46106</v>
      </c>
      <c r="G120" s="12" t="s">
        <v>625</v>
      </c>
      <c r="H120" s="12" t="s">
        <v>626</v>
      </c>
      <c r="I120" s="39">
        <v>0</v>
      </c>
      <c r="J120" s="15"/>
      <c r="K120" s="15"/>
      <c r="L120" s="14" t="s">
        <v>627</v>
      </c>
      <c r="M120" s="41" t="s">
        <v>29</v>
      </c>
      <c r="N120" s="16"/>
      <c r="O120" s="15"/>
      <c r="P120" s="17"/>
      <c r="Q120" s="17"/>
      <c r="R120" s="18" t="s">
        <v>41</v>
      </c>
    </row>
    <row r="121" spans="2:18" ht="30" customHeight="1" x14ac:dyDescent="0.45">
      <c r="B121" s="9" t="s">
        <v>1387</v>
      </c>
      <c r="C121" s="9" t="s">
        <v>14</v>
      </c>
      <c r="D121" s="13" t="s">
        <v>30</v>
      </c>
      <c r="E121" s="10" t="s">
        <v>27</v>
      </c>
      <c r="F121" s="11">
        <v>46106</v>
      </c>
      <c r="G121" s="12" t="s">
        <v>585</v>
      </c>
      <c r="H121" s="12" t="s">
        <v>586</v>
      </c>
      <c r="I121" s="39">
        <v>0</v>
      </c>
      <c r="J121" s="15"/>
      <c r="K121" s="15"/>
      <c r="L121" s="14" t="s">
        <v>587</v>
      </c>
      <c r="M121" s="41" t="s">
        <v>29</v>
      </c>
      <c r="N121" s="16"/>
      <c r="O121" s="15"/>
      <c r="P121" s="17"/>
      <c r="Q121" s="17"/>
      <c r="R121" s="18" t="s">
        <v>31</v>
      </c>
    </row>
    <row r="122" spans="2:18" ht="30" customHeight="1" x14ac:dyDescent="0.45">
      <c r="B122" s="9" t="s">
        <v>1387</v>
      </c>
      <c r="C122" s="9" t="s">
        <v>9</v>
      </c>
      <c r="D122" s="13" t="s">
        <v>30</v>
      </c>
      <c r="E122" s="10" t="s">
        <v>27</v>
      </c>
      <c r="F122" s="11">
        <v>46105</v>
      </c>
      <c r="G122" s="12" t="s">
        <v>1324</v>
      </c>
      <c r="H122" s="12" t="s">
        <v>1325</v>
      </c>
      <c r="I122" s="39">
        <v>0</v>
      </c>
      <c r="J122" s="15"/>
      <c r="K122" s="15"/>
      <c r="L122" s="14" t="s">
        <v>1326</v>
      </c>
      <c r="M122" s="41" t="s">
        <v>29</v>
      </c>
      <c r="N122" s="16"/>
      <c r="O122" s="15"/>
      <c r="P122" s="17"/>
      <c r="Q122" s="17"/>
      <c r="R122" s="18"/>
    </row>
    <row r="123" spans="2:18" ht="30" customHeight="1" x14ac:dyDescent="0.45">
      <c r="B123" s="9" t="s">
        <v>1387</v>
      </c>
      <c r="C123" s="9" t="s">
        <v>10</v>
      </c>
      <c r="D123" s="13" t="s">
        <v>57</v>
      </c>
      <c r="E123" s="10" t="s">
        <v>27</v>
      </c>
      <c r="F123" s="11">
        <v>46104</v>
      </c>
      <c r="G123" s="12" t="s">
        <v>622</v>
      </c>
      <c r="H123" s="12" t="s">
        <v>623</v>
      </c>
      <c r="I123" s="39">
        <v>0</v>
      </c>
      <c r="J123" s="15"/>
      <c r="K123" s="15"/>
      <c r="L123" s="14" t="s">
        <v>624</v>
      </c>
      <c r="M123" s="41" t="s">
        <v>29</v>
      </c>
      <c r="N123" s="16"/>
      <c r="O123" s="15"/>
      <c r="P123" s="17"/>
      <c r="Q123" s="17"/>
      <c r="R123" s="18" t="s">
        <v>41</v>
      </c>
    </row>
    <row r="124" spans="2:18" ht="30" customHeight="1" x14ac:dyDescent="0.45">
      <c r="B124" s="9" t="s">
        <v>1387</v>
      </c>
      <c r="C124" s="9" t="s">
        <v>15</v>
      </c>
      <c r="D124" s="13" t="s">
        <v>30</v>
      </c>
      <c r="E124" s="10" t="s">
        <v>1381</v>
      </c>
      <c r="F124" s="11">
        <v>46104</v>
      </c>
      <c r="G124" s="12" t="s">
        <v>591</v>
      </c>
      <c r="H124" s="12" t="s">
        <v>592</v>
      </c>
      <c r="I124" s="39">
        <v>0</v>
      </c>
      <c r="J124" s="15"/>
      <c r="K124" s="15"/>
      <c r="L124" s="14" t="s">
        <v>593</v>
      </c>
      <c r="M124" s="41" t="s">
        <v>29</v>
      </c>
      <c r="N124" s="16"/>
      <c r="O124" s="15"/>
      <c r="P124" s="17"/>
      <c r="Q124" s="17"/>
      <c r="R124" s="18" t="s">
        <v>41</v>
      </c>
    </row>
    <row r="125" spans="2:18" ht="30" customHeight="1" x14ac:dyDescent="0.45">
      <c r="B125" s="9" t="s">
        <v>1387</v>
      </c>
      <c r="C125" s="9" t="s">
        <v>12</v>
      </c>
      <c r="D125" s="13" t="s">
        <v>30</v>
      </c>
      <c r="E125" s="10" t="s">
        <v>27</v>
      </c>
      <c r="F125" s="11">
        <v>46100</v>
      </c>
      <c r="G125" s="12" t="s">
        <v>520</v>
      </c>
      <c r="H125" s="12" t="s">
        <v>521</v>
      </c>
      <c r="I125" s="39">
        <v>0</v>
      </c>
      <c r="J125" s="15"/>
      <c r="K125" s="15"/>
      <c r="L125" s="14" t="s">
        <v>522</v>
      </c>
      <c r="M125" s="41" t="s">
        <v>29</v>
      </c>
      <c r="N125" s="16"/>
      <c r="O125" s="15"/>
      <c r="P125" s="17"/>
      <c r="Q125" s="17"/>
      <c r="R125" s="18" t="s">
        <v>523</v>
      </c>
    </row>
    <row r="126" spans="2:18" ht="30" customHeight="1" x14ac:dyDescent="0.45">
      <c r="B126" s="9" t="s">
        <v>1387</v>
      </c>
      <c r="C126" s="9" t="s">
        <v>19</v>
      </c>
      <c r="D126" s="13" t="s">
        <v>30</v>
      </c>
      <c r="E126" s="10" t="s">
        <v>1381</v>
      </c>
      <c r="F126" s="11">
        <v>46099</v>
      </c>
      <c r="G126" s="12" t="s">
        <v>547</v>
      </c>
      <c r="H126" s="12" t="s">
        <v>241</v>
      </c>
      <c r="I126" s="39">
        <v>0</v>
      </c>
      <c r="J126" s="15"/>
      <c r="K126" s="15"/>
      <c r="L126" s="14" t="s">
        <v>548</v>
      </c>
      <c r="M126" s="41" t="s">
        <v>29</v>
      </c>
      <c r="N126" s="16"/>
      <c r="O126" s="15"/>
      <c r="P126" s="17"/>
      <c r="Q126" s="17"/>
      <c r="R126" s="18" t="s">
        <v>31</v>
      </c>
    </row>
    <row r="127" spans="2:18" ht="30" customHeight="1" x14ac:dyDescent="0.45">
      <c r="B127" s="9" t="s">
        <v>1387</v>
      </c>
      <c r="C127" s="9" t="s">
        <v>10</v>
      </c>
      <c r="D127" s="13" t="s">
        <v>290</v>
      </c>
      <c r="E127" s="10" t="s">
        <v>27</v>
      </c>
      <c r="F127" s="11">
        <v>46099</v>
      </c>
      <c r="G127" s="12" t="s">
        <v>541</v>
      </c>
      <c r="H127" s="12" t="s">
        <v>542</v>
      </c>
      <c r="I127" s="39">
        <v>0</v>
      </c>
      <c r="J127" s="15"/>
      <c r="K127" s="15"/>
      <c r="L127" s="14" t="s">
        <v>543</v>
      </c>
      <c r="M127" s="41" t="s">
        <v>29</v>
      </c>
      <c r="N127" s="16"/>
      <c r="O127" s="15"/>
      <c r="P127" s="17"/>
      <c r="Q127" s="17"/>
      <c r="R127" s="18" t="s">
        <v>31</v>
      </c>
    </row>
    <row r="128" spans="2:18" ht="30" customHeight="1" x14ac:dyDescent="0.45">
      <c r="B128" s="9" t="s">
        <v>1387</v>
      </c>
      <c r="C128" s="9" t="s">
        <v>19</v>
      </c>
      <c r="D128" s="13" t="s">
        <v>110</v>
      </c>
      <c r="E128" s="10" t="s">
        <v>27</v>
      </c>
      <c r="F128" s="11">
        <v>46099</v>
      </c>
      <c r="G128" s="12" t="s">
        <v>628</v>
      </c>
      <c r="H128" s="12" t="s">
        <v>629</v>
      </c>
      <c r="I128" s="39">
        <v>0</v>
      </c>
      <c r="J128" s="15"/>
      <c r="K128" s="15"/>
      <c r="L128" s="14" t="s">
        <v>630</v>
      </c>
      <c r="M128" s="41" t="s">
        <v>29</v>
      </c>
      <c r="N128" s="16"/>
      <c r="O128" s="15"/>
      <c r="P128" s="17"/>
      <c r="Q128" s="17"/>
      <c r="R128" s="18" t="s">
        <v>41</v>
      </c>
    </row>
    <row r="129" spans="2:18" ht="30" customHeight="1" x14ac:dyDescent="0.45">
      <c r="B129" s="9" t="s">
        <v>1387</v>
      </c>
      <c r="C129" s="9" t="s">
        <v>9</v>
      </c>
      <c r="D129" s="13" t="s">
        <v>30</v>
      </c>
      <c r="E129" s="10" t="s">
        <v>27</v>
      </c>
      <c r="F129" s="11">
        <v>46098</v>
      </c>
      <c r="G129" s="12" t="s">
        <v>539</v>
      </c>
      <c r="H129" s="12" t="s">
        <v>178</v>
      </c>
      <c r="I129" s="39">
        <v>0</v>
      </c>
      <c r="J129" s="15"/>
      <c r="K129" s="15"/>
      <c r="L129" s="14" t="s">
        <v>540</v>
      </c>
      <c r="M129" s="41" t="s">
        <v>29</v>
      </c>
      <c r="N129" s="16"/>
      <c r="O129" s="15"/>
      <c r="P129" s="17"/>
      <c r="Q129" s="17"/>
      <c r="R129" s="18" t="s">
        <v>41</v>
      </c>
    </row>
    <row r="130" spans="2:18" ht="30" customHeight="1" x14ac:dyDescent="0.45">
      <c r="B130" s="9" t="s">
        <v>1387</v>
      </c>
      <c r="C130" s="9" t="s">
        <v>9</v>
      </c>
      <c r="D130" s="13" t="s">
        <v>30</v>
      </c>
      <c r="E130" s="10" t="s">
        <v>27</v>
      </c>
      <c r="F130" s="11">
        <v>46098</v>
      </c>
      <c r="G130" s="12" t="s">
        <v>535</v>
      </c>
      <c r="H130" s="12" t="s">
        <v>536</v>
      </c>
      <c r="I130" s="47">
        <v>700</v>
      </c>
      <c r="J130" s="48">
        <v>10</v>
      </c>
      <c r="K130" s="15"/>
      <c r="L130" s="14" t="s">
        <v>537</v>
      </c>
      <c r="M130" s="41" t="s">
        <v>29</v>
      </c>
      <c r="N130" s="16"/>
      <c r="O130" s="15"/>
      <c r="P130" s="17"/>
      <c r="Q130" s="17"/>
      <c r="R130" s="18" t="s">
        <v>538</v>
      </c>
    </row>
    <row r="131" spans="2:18" ht="30" customHeight="1" x14ac:dyDescent="0.45">
      <c r="B131" s="9" t="s">
        <v>1387</v>
      </c>
      <c r="C131" s="9" t="s">
        <v>17</v>
      </c>
      <c r="D131" s="13" t="s">
        <v>30</v>
      </c>
      <c r="E131" s="10" t="s">
        <v>27</v>
      </c>
      <c r="F131" s="11">
        <v>46098</v>
      </c>
      <c r="G131" s="12" t="s">
        <v>529</v>
      </c>
      <c r="H131" s="12" t="s">
        <v>530</v>
      </c>
      <c r="I131" s="39">
        <v>0</v>
      </c>
      <c r="J131" s="15"/>
      <c r="K131" s="15"/>
      <c r="L131" s="14" t="s">
        <v>531</v>
      </c>
      <c r="M131" s="41" t="s">
        <v>29</v>
      </c>
      <c r="N131" s="16"/>
      <c r="O131" s="15"/>
      <c r="P131" s="17"/>
      <c r="Q131" s="17"/>
      <c r="R131" s="18" t="s">
        <v>41</v>
      </c>
    </row>
    <row r="132" spans="2:18" ht="30" customHeight="1" x14ac:dyDescent="0.45">
      <c r="B132" s="9" t="s">
        <v>1387</v>
      </c>
      <c r="C132" s="9" t="s">
        <v>16</v>
      </c>
      <c r="D132" s="13" t="s">
        <v>110</v>
      </c>
      <c r="E132" s="10" t="s">
        <v>1381</v>
      </c>
      <c r="F132" s="11">
        <v>46097</v>
      </c>
      <c r="G132" s="12" t="s">
        <v>518</v>
      </c>
      <c r="H132" s="12" t="s">
        <v>218</v>
      </c>
      <c r="I132" s="39">
        <v>0</v>
      </c>
      <c r="J132" s="15"/>
      <c r="K132" s="15"/>
      <c r="L132" s="14" t="s">
        <v>519</v>
      </c>
      <c r="M132" s="41" t="s">
        <v>29</v>
      </c>
      <c r="N132" s="16"/>
      <c r="O132" s="15"/>
      <c r="P132" s="17"/>
      <c r="Q132" s="17"/>
      <c r="R132" s="18" t="s">
        <v>41</v>
      </c>
    </row>
    <row r="133" spans="2:18" ht="30" customHeight="1" x14ac:dyDescent="0.45">
      <c r="B133" s="9" t="s">
        <v>1387</v>
      </c>
      <c r="C133" s="9" t="s">
        <v>10</v>
      </c>
      <c r="D133" s="13" t="s">
        <v>267</v>
      </c>
      <c r="E133" s="10" t="s">
        <v>27</v>
      </c>
      <c r="F133" s="11">
        <v>46094</v>
      </c>
      <c r="G133" s="12" t="s">
        <v>574</v>
      </c>
      <c r="H133" s="12" t="s">
        <v>575</v>
      </c>
      <c r="I133" s="39">
        <v>0</v>
      </c>
      <c r="J133" s="15"/>
      <c r="K133" s="15"/>
      <c r="L133" s="14" t="s">
        <v>576</v>
      </c>
      <c r="M133" s="41" t="s">
        <v>29</v>
      </c>
      <c r="N133" s="16"/>
      <c r="O133" s="15"/>
      <c r="P133" s="17"/>
      <c r="Q133" s="17"/>
      <c r="R133" s="18" t="s">
        <v>31</v>
      </c>
    </row>
    <row r="134" spans="2:18" ht="30" customHeight="1" x14ac:dyDescent="0.45">
      <c r="B134" s="9" t="s">
        <v>1387</v>
      </c>
      <c r="C134" s="9" t="s">
        <v>14</v>
      </c>
      <c r="D134" s="13" t="s">
        <v>30</v>
      </c>
      <c r="E134" s="10" t="s">
        <v>27</v>
      </c>
      <c r="F134" s="11">
        <v>46093</v>
      </c>
      <c r="G134" s="12" t="s">
        <v>652</v>
      </c>
      <c r="H134" s="12" t="s">
        <v>653</v>
      </c>
      <c r="I134" s="39">
        <v>0</v>
      </c>
      <c r="J134" s="15"/>
      <c r="K134" s="15"/>
      <c r="L134" s="14" t="s">
        <v>655</v>
      </c>
      <c r="M134" s="41" t="s">
        <v>29</v>
      </c>
      <c r="N134" s="16"/>
      <c r="O134" s="15"/>
      <c r="P134" s="17"/>
      <c r="Q134" s="17"/>
      <c r="R134" s="18" t="s">
        <v>654</v>
      </c>
    </row>
    <row r="135" spans="2:18" ht="30" customHeight="1" x14ac:dyDescent="0.45">
      <c r="B135" s="9" t="s">
        <v>1387</v>
      </c>
      <c r="C135" s="9" t="s">
        <v>12</v>
      </c>
      <c r="D135" s="13" t="s">
        <v>95</v>
      </c>
      <c r="E135" s="10" t="s">
        <v>27</v>
      </c>
      <c r="F135" s="11">
        <v>46092</v>
      </c>
      <c r="G135" s="12" t="s">
        <v>561</v>
      </c>
      <c r="H135" s="12" t="s">
        <v>562</v>
      </c>
      <c r="I135" s="39">
        <v>0</v>
      </c>
      <c r="J135" s="15"/>
      <c r="K135" s="15"/>
      <c r="L135" s="14" t="s">
        <v>563</v>
      </c>
      <c r="M135" s="41" t="s">
        <v>29</v>
      </c>
      <c r="N135" s="16"/>
      <c r="O135" s="15"/>
      <c r="P135" s="17"/>
      <c r="Q135" s="17"/>
      <c r="R135" s="18" t="s">
        <v>41</v>
      </c>
    </row>
    <row r="136" spans="2:18" ht="30" customHeight="1" x14ac:dyDescent="0.45">
      <c r="B136" s="9" t="s">
        <v>1387</v>
      </c>
      <c r="C136" s="9" t="s">
        <v>19</v>
      </c>
      <c r="D136" s="13" t="s">
        <v>35</v>
      </c>
      <c r="E136" s="10" t="s">
        <v>27</v>
      </c>
      <c r="F136" s="11">
        <v>46092</v>
      </c>
      <c r="G136" s="12" t="s">
        <v>581</v>
      </c>
      <c r="H136" s="12" t="s">
        <v>583</v>
      </c>
      <c r="I136" s="39">
        <v>0</v>
      </c>
      <c r="J136" s="15"/>
      <c r="K136" s="15"/>
      <c r="L136" s="14" t="s">
        <v>582</v>
      </c>
      <c r="M136" s="41" t="s">
        <v>29</v>
      </c>
      <c r="N136" s="16"/>
      <c r="O136" s="15"/>
      <c r="P136" s="17"/>
      <c r="Q136" s="17"/>
      <c r="R136" s="18" t="s">
        <v>584</v>
      </c>
    </row>
    <row r="137" spans="2:18" ht="30" customHeight="1" x14ac:dyDescent="0.45">
      <c r="B137" s="9" t="s">
        <v>1387</v>
      </c>
      <c r="C137" s="9" t="s">
        <v>9</v>
      </c>
      <c r="D137" s="13" t="s">
        <v>30</v>
      </c>
      <c r="E137" s="10" t="s">
        <v>27</v>
      </c>
      <c r="F137" s="11">
        <v>46092</v>
      </c>
      <c r="G137" s="12" t="s">
        <v>571</v>
      </c>
      <c r="H137" s="12" t="s">
        <v>572</v>
      </c>
      <c r="I137" s="39">
        <v>0</v>
      </c>
      <c r="J137" s="15"/>
      <c r="K137" s="15"/>
      <c r="L137" s="14" t="s">
        <v>573</v>
      </c>
      <c r="M137" s="41" t="s">
        <v>29</v>
      </c>
      <c r="N137" s="16"/>
      <c r="O137" s="15"/>
      <c r="P137" s="17"/>
      <c r="Q137" s="17"/>
      <c r="R137" s="18" t="s">
        <v>31</v>
      </c>
    </row>
    <row r="138" spans="2:18" ht="30" customHeight="1" x14ac:dyDescent="0.45">
      <c r="B138" s="9" t="s">
        <v>1387</v>
      </c>
      <c r="C138" s="9" t="s">
        <v>16</v>
      </c>
      <c r="D138" s="13" t="s">
        <v>30</v>
      </c>
      <c r="E138" s="10" t="s">
        <v>27</v>
      </c>
      <c r="F138" s="11">
        <v>46091</v>
      </c>
      <c r="G138" s="12" t="s">
        <v>662</v>
      </c>
      <c r="H138" s="12" t="s">
        <v>663</v>
      </c>
      <c r="I138" s="39">
        <v>0</v>
      </c>
      <c r="J138" s="15"/>
      <c r="K138" s="15"/>
      <c r="L138" s="14" t="s">
        <v>664</v>
      </c>
      <c r="M138" s="41" t="s">
        <v>29</v>
      </c>
      <c r="N138" s="16"/>
      <c r="O138" s="15"/>
      <c r="P138" s="17"/>
      <c r="Q138" s="17"/>
      <c r="R138" s="18" t="s">
        <v>41</v>
      </c>
    </row>
    <row r="139" spans="2:18" ht="30" customHeight="1" x14ac:dyDescent="0.45">
      <c r="B139" s="9" t="s">
        <v>1387</v>
      </c>
      <c r="C139" s="9" t="s">
        <v>16</v>
      </c>
      <c r="D139" s="13" t="s">
        <v>30</v>
      </c>
      <c r="E139" s="10" t="s">
        <v>27</v>
      </c>
      <c r="F139" s="11">
        <v>46088</v>
      </c>
      <c r="G139" s="12" t="s">
        <v>665</v>
      </c>
      <c r="H139" s="12" t="s">
        <v>667</v>
      </c>
      <c r="I139" s="39">
        <v>0</v>
      </c>
      <c r="J139" s="15"/>
      <c r="K139" s="15"/>
      <c r="L139" s="14" t="s">
        <v>666</v>
      </c>
      <c r="M139" s="41" t="s">
        <v>29</v>
      </c>
      <c r="N139" s="16"/>
      <c r="O139" s="15"/>
      <c r="P139" s="17"/>
      <c r="Q139" s="17"/>
      <c r="R139" s="18" t="s">
        <v>31</v>
      </c>
    </row>
    <row r="140" spans="2:18" ht="30" customHeight="1" x14ac:dyDescent="0.45">
      <c r="B140" s="9" t="s">
        <v>1387</v>
      </c>
      <c r="C140" s="9" t="s">
        <v>15</v>
      </c>
      <c r="D140" s="13" t="s">
        <v>30</v>
      </c>
      <c r="E140" s="10" t="s">
        <v>27</v>
      </c>
      <c r="F140" s="11">
        <v>46087</v>
      </c>
      <c r="G140" s="12" t="s">
        <v>489</v>
      </c>
      <c r="H140" s="12" t="s">
        <v>302</v>
      </c>
      <c r="I140" s="39">
        <v>0</v>
      </c>
      <c r="J140" s="15"/>
      <c r="K140" s="15"/>
      <c r="L140" s="14" t="s">
        <v>490</v>
      </c>
      <c r="M140" s="41" t="s">
        <v>29</v>
      </c>
      <c r="N140" s="16"/>
      <c r="O140" s="15"/>
      <c r="P140" s="17"/>
      <c r="Q140" s="17"/>
      <c r="R140" s="18" t="s">
        <v>41</v>
      </c>
    </row>
    <row r="141" spans="2:18" ht="30" customHeight="1" x14ac:dyDescent="0.45">
      <c r="B141" s="9" t="s">
        <v>1387</v>
      </c>
      <c r="C141" s="9" t="s">
        <v>15</v>
      </c>
      <c r="D141" s="13" t="s">
        <v>95</v>
      </c>
      <c r="E141" s="10" t="s">
        <v>27</v>
      </c>
      <c r="F141" s="11">
        <v>46084</v>
      </c>
      <c r="G141" s="12" t="s">
        <v>491</v>
      </c>
      <c r="H141" s="12" t="s">
        <v>492</v>
      </c>
      <c r="I141" s="39">
        <v>0</v>
      </c>
      <c r="J141" s="15"/>
      <c r="K141" s="15"/>
      <c r="L141" s="14" t="s">
        <v>493</v>
      </c>
      <c r="M141" s="41" t="s">
        <v>29</v>
      </c>
      <c r="N141" s="16"/>
      <c r="O141" s="15"/>
      <c r="P141" s="17"/>
      <c r="Q141" s="17"/>
      <c r="R141" s="18" t="s">
        <v>31</v>
      </c>
    </row>
    <row r="142" spans="2:18" ht="30" customHeight="1" x14ac:dyDescent="0.45">
      <c r="B142" s="9" t="s">
        <v>1387</v>
      </c>
      <c r="C142" s="9" t="s">
        <v>16</v>
      </c>
      <c r="D142" s="13" t="s">
        <v>30</v>
      </c>
      <c r="E142" s="10" t="s">
        <v>27</v>
      </c>
      <c r="F142" s="11">
        <v>46083</v>
      </c>
      <c r="G142" s="12" t="s">
        <v>497</v>
      </c>
      <c r="H142" s="12" t="s">
        <v>498</v>
      </c>
      <c r="I142" s="39">
        <v>0</v>
      </c>
      <c r="J142" s="15"/>
      <c r="K142" s="15"/>
      <c r="L142" s="14" t="s">
        <v>499</v>
      </c>
      <c r="M142" s="41" t="s">
        <v>29</v>
      </c>
      <c r="N142" s="16"/>
      <c r="O142" s="15"/>
      <c r="P142" s="17"/>
      <c r="Q142" s="17"/>
      <c r="R142" s="18" t="s">
        <v>31</v>
      </c>
    </row>
    <row r="143" spans="2:18" ht="30" customHeight="1" x14ac:dyDescent="0.45">
      <c r="B143" s="9" t="s">
        <v>1387</v>
      </c>
      <c r="C143" s="9" t="s">
        <v>14</v>
      </c>
      <c r="D143" s="13" t="s">
        <v>30</v>
      </c>
      <c r="E143" s="10" t="s">
        <v>27</v>
      </c>
      <c r="F143" s="11">
        <v>46083</v>
      </c>
      <c r="G143" s="12" t="s">
        <v>485</v>
      </c>
      <c r="H143" s="12" t="s">
        <v>486</v>
      </c>
      <c r="I143" s="39">
        <v>0</v>
      </c>
      <c r="J143" s="15"/>
      <c r="K143" s="15"/>
      <c r="L143" s="14" t="s">
        <v>487</v>
      </c>
      <c r="M143" s="41" t="s">
        <v>29</v>
      </c>
      <c r="N143" s="16"/>
      <c r="O143" s="15"/>
      <c r="P143" s="17"/>
      <c r="Q143" s="17"/>
      <c r="R143" s="18" t="s">
        <v>488</v>
      </c>
    </row>
    <row r="144" spans="2:18" ht="30" customHeight="1" x14ac:dyDescent="0.45">
      <c r="B144" s="9" t="s">
        <v>1387</v>
      </c>
      <c r="C144" s="9" t="s">
        <v>14</v>
      </c>
      <c r="D144" s="13" t="s">
        <v>110</v>
      </c>
      <c r="E144" s="10" t="s">
        <v>27</v>
      </c>
      <c r="F144" s="11">
        <v>46079</v>
      </c>
      <c r="G144" s="12" t="s">
        <v>463</v>
      </c>
      <c r="H144" s="12" t="s">
        <v>45</v>
      </c>
      <c r="I144" s="39">
        <v>0</v>
      </c>
      <c r="J144" s="15"/>
      <c r="K144" s="15"/>
      <c r="L144" s="14" t="s">
        <v>464</v>
      </c>
      <c r="M144" s="41" t="s">
        <v>29</v>
      </c>
      <c r="N144" s="16"/>
      <c r="O144" s="15"/>
      <c r="P144" s="17"/>
      <c r="Q144" s="17"/>
      <c r="R144" s="18" t="s">
        <v>31</v>
      </c>
    </row>
    <row r="145" spans="2:18" ht="30" customHeight="1" x14ac:dyDescent="0.45">
      <c r="B145" s="9" t="s">
        <v>1387</v>
      </c>
      <c r="C145" s="9" t="s">
        <v>16</v>
      </c>
      <c r="D145" s="13" t="s">
        <v>30</v>
      </c>
      <c r="E145" s="10" t="s">
        <v>1381</v>
      </c>
      <c r="F145" s="11">
        <v>46079</v>
      </c>
      <c r="G145" s="12" t="s">
        <v>474</v>
      </c>
      <c r="H145" s="12" t="s">
        <v>475</v>
      </c>
      <c r="I145" s="39">
        <v>0</v>
      </c>
      <c r="J145" s="15"/>
      <c r="K145" s="15"/>
      <c r="L145" s="14" t="s">
        <v>476</v>
      </c>
      <c r="M145" s="41" t="s">
        <v>29</v>
      </c>
      <c r="N145" s="16"/>
      <c r="O145" s="15"/>
      <c r="P145" s="17"/>
      <c r="Q145" s="17"/>
      <c r="R145" s="18" t="s">
        <v>31</v>
      </c>
    </row>
    <row r="146" spans="2:18" ht="30" customHeight="1" x14ac:dyDescent="0.45">
      <c r="B146" s="9" t="s">
        <v>1387</v>
      </c>
      <c r="C146" s="9" t="s">
        <v>14</v>
      </c>
      <c r="D146" s="13" t="s">
        <v>30</v>
      </c>
      <c r="E146" s="10" t="s">
        <v>27</v>
      </c>
      <c r="F146" s="11">
        <v>46078</v>
      </c>
      <c r="G146" s="12" t="s">
        <v>467</v>
      </c>
      <c r="H146" s="12" t="s">
        <v>468</v>
      </c>
      <c r="I146" s="39">
        <v>0</v>
      </c>
      <c r="J146" s="15"/>
      <c r="K146" s="15"/>
      <c r="L146" s="14" t="s">
        <v>469</v>
      </c>
      <c r="M146" s="41" t="s">
        <v>29</v>
      </c>
      <c r="N146" s="16"/>
      <c r="O146" s="15"/>
      <c r="P146" s="17"/>
      <c r="Q146" s="17"/>
      <c r="R146" s="18" t="s">
        <v>470</v>
      </c>
    </row>
    <row r="147" spans="2:18" ht="30" customHeight="1" x14ac:dyDescent="0.45">
      <c r="B147" s="9" t="s">
        <v>1387</v>
      </c>
      <c r="C147" s="9" t="s">
        <v>17</v>
      </c>
      <c r="D147" s="13" t="s">
        <v>30</v>
      </c>
      <c r="E147" s="10" t="s">
        <v>27</v>
      </c>
      <c r="F147" s="11">
        <v>46076</v>
      </c>
      <c r="G147" s="12" t="s">
        <v>451</v>
      </c>
      <c r="H147" s="12" t="s">
        <v>452</v>
      </c>
      <c r="I147" s="39">
        <v>0</v>
      </c>
      <c r="J147" s="15"/>
      <c r="K147" s="15"/>
      <c r="L147" s="14" t="s">
        <v>453</v>
      </c>
      <c r="M147" s="41" t="s">
        <v>29</v>
      </c>
      <c r="N147" s="16"/>
      <c r="O147" s="15"/>
      <c r="P147" s="17"/>
      <c r="Q147" s="17"/>
      <c r="R147" s="18" t="s">
        <v>454</v>
      </c>
    </row>
    <row r="148" spans="2:18" ht="30" customHeight="1" x14ac:dyDescent="0.45">
      <c r="B148" s="9" t="s">
        <v>1387</v>
      </c>
      <c r="C148" s="9" t="s">
        <v>14</v>
      </c>
      <c r="D148" s="13" t="s">
        <v>30</v>
      </c>
      <c r="E148" s="10" t="s">
        <v>27</v>
      </c>
      <c r="F148" s="11">
        <v>46076</v>
      </c>
      <c r="G148" s="12" t="s">
        <v>465</v>
      </c>
      <c r="H148" s="12" t="s">
        <v>323</v>
      </c>
      <c r="I148" s="39">
        <v>0</v>
      </c>
      <c r="J148" s="15"/>
      <c r="K148" s="15"/>
      <c r="L148" s="14" t="s">
        <v>466</v>
      </c>
      <c r="M148" s="41" t="s">
        <v>29</v>
      </c>
      <c r="N148" s="16"/>
      <c r="O148" s="15"/>
      <c r="P148" s="17"/>
      <c r="Q148" s="17"/>
      <c r="R148" s="18" t="s">
        <v>31</v>
      </c>
    </row>
    <row r="149" spans="2:18" ht="30" customHeight="1" x14ac:dyDescent="0.45">
      <c r="B149" s="9" t="s">
        <v>1387</v>
      </c>
      <c r="C149" s="9" t="s">
        <v>10</v>
      </c>
      <c r="D149" s="13" t="s">
        <v>161</v>
      </c>
      <c r="E149" s="10" t="s">
        <v>27</v>
      </c>
      <c r="F149" s="11">
        <v>46072</v>
      </c>
      <c r="G149" s="12" t="s">
        <v>636</v>
      </c>
      <c r="H149" s="12" t="s">
        <v>637</v>
      </c>
      <c r="I149" s="39">
        <v>0</v>
      </c>
      <c r="J149" s="15"/>
      <c r="K149" s="15"/>
      <c r="L149" s="14" t="s">
        <v>638</v>
      </c>
      <c r="M149" s="41" t="s">
        <v>29</v>
      </c>
      <c r="N149" s="16"/>
      <c r="O149" s="15"/>
      <c r="P149" s="17"/>
      <c r="Q149" s="17"/>
      <c r="R149" s="18" t="s">
        <v>639</v>
      </c>
    </row>
    <row r="150" spans="2:18" ht="30" customHeight="1" x14ac:dyDescent="0.45">
      <c r="B150" s="9" t="s">
        <v>1387</v>
      </c>
      <c r="C150" s="9" t="s">
        <v>14</v>
      </c>
      <c r="D150" s="13" t="s">
        <v>30</v>
      </c>
      <c r="E150" s="10" t="s">
        <v>27</v>
      </c>
      <c r="F150" s="11">
        <v>46072</v>
      </c>
      <c r="G150" s="12" t="s">
        <v>647</v>
      </c>
      <c r="H150" s="12" t="s">
        <v>542</v>
      </c>
      <c r="I150" s="39">
        <v>0</v>
      </c>
      <c r="J150" s="15"/>
      <c r="K150" s="15"/>
      <c r="L150" s="14" t="s">
        <v>648</v>
      </c>
      <c r="M150" s="41" t="s">
        <v>29</v>
      </c>
      <c r="N150" s="16"/>
      <c r="O150" s="15"/>
      <c r="P150" s="17"/>
      <c r="Q150" s="17"/>
      <c r="R150" s="18" t="s">
        <v>41</v>
      </c>
    </row>
    <row r="151" spans="2:18" ht="30" customHeight="1" x14ac:dyDescent="0.45">
      <c r="B151" s="9" t="s">
        <v>1387</v>
      </c>
      <c r="C151" s="9" t="s">
        <v>14</v>
      </c>
      <c r="D151" s="13" t="s">
        <v>30</v>
      </c>
      <c r="E151" s="10" t="s">
        <v>27</v>
      </c>
      <c r="F151" s="11">
        <v>46071</v>
      </c>
      <c r="G151" s="12" t="s">
        <v>460</v>
      </c>
      <c r="H151" s="12" t="s">
        <v>461</v>
      </c>
      <c r="I151" s="39">
        <v>0</v>
      </c>
      <c r="J151" s="15"/>
      <c r="K151" s="15"/>
      <c r="L151" s="14" t="s">
        <v>462</v>
      </c>
      <c r="M151" s="41" t="s">
        <v>29</v>
      </c>
      <c r="N151" s="16"/>
      <c r="O151" s="15"/>
      <c r="P151" s="17"/>
      <c r="Q151" s="17"/>
      <c r="R151" s="18" t="s">
        <v>41</v>
      </c>
    </row>
    <row r="152" spans="2:18" ht="30" customHeight="1" x14ac:dyDescent="0.45">
      <c r="B152" s="9" t="s">
        <v>1387</v>
      </c>
      <c r="C152" s="9" t="s">
        <v>15</v>
      </c>
      <c r="D152" s="13" t="s">
        <v>642</v>
      </c>
      <c r="E152" s="10" t="s">
        <v>27</v>
      </c>
      <c r="F152" s="11">
        <v>46070</v>
      </c>
      <c r="G152" s="12" t="s">
        <v>640</v>
      </c>
      <c r="H152" s="12" t="s">
        <v>641</v>
      </c>
      <c r="I152" s="39">
        <v>0</v>
      </c>
      <c r="J152" s="15"/>
      <c r="K152" s="15"/>
      <c r="L152" s="14" t="s">
        <v>643</v>
      </c>
      <c r="M152" s="41" t="s">
        <v>29</v>
      </c>
      <c r="N152" s="16"/>
      <c r="O152" s="15"/>
      <c r="P152" s="17"/>
      <c r="Q152" s="17"/>
      <c r="R152" s="18" t="s">
        <v>41</v>
      </c>
    </row>
    <row r="153" spans="2:18" ht="30" customHeight="1" x14ac:dyDescent="0.45">
      <c r="B153" s="9" t="s">
        <v>1387</v>
      </c>
      <c r="C153" s="9" t="s">
        <v>14</v>
      </c>
      <c r="D153" s="13" t="s">
        <v>30</v>
      </c>
      <c r="E153" s="10" t="s">
        <v>27</v>
      </c>
      <c r="F153" s="11">
        <v>46070</v>
      </c>
      <c r="G153" s="12" t="s">
        <v>416</v>
      </c>
      <c r="H153" s="12" t="s">
        <v>417</v>
      </c>
      <c r="I153" s="39">
        <v>0</v>
      </c>
      <c r="J153" s="15"/>
      <c r="K153" s="15"/>
      <c r="L153" s="14" t="s">
        <v>418</v>
      </c>
      <c r="M153" s="41" t="s">
        <v>29</v>
      </c>
      <c r="N153" s="16"/>
      <c r="O153" s="15"/>
      <c r="P153" s="17"/>
      <c r="Q153" s="17"/>
      <c r="R153" s="18" t="s">
        <v>41</v>
      </c>
    </row>
    <row r="154" spans="2:18" ht="30" customHeight="1" x14ac:dyDescent="0.45">
      <c r="B154" s="9" t="s">
        <v>1387</v>
      </c>
      <c r="C154" s="9" t="s">
        <v>14</v>
      </c>
      <c r="D154" s="13" t="s">
        <v>30</v>
      </c>
      <c r="E154" s="10" t="s">
        <v>27</v>
      </c>
      <c r="F154" s="11">
        <v>46066</v>
      </c>
      <c r="G154" s="12" t="s">
        <v>314</v>
      </c>
      <c r="H154" s="12" t="s">
        <v>313</v>
      </c>
      <c r="I154" s="39">
        <v>0</v>
      </c>
      <c r="J154" s="15"/>
      <c r="K154" s="15"/>
      <c r="L154" s="14" t="s">
        <v>315</v>
      </c>
      <c r="M154" s="41" t="s">
        <v>29</v>
      </c>
      <c r="N154" s="16"/>
      <c r="O154" s="15"/>
      <c r="P154" s="17"/>
      <c r="Q154" s="17"/>
      <c r="R154" s="18" t="s">
        <v>41</v>
      </c>
    </row>
    <row r="155" spans="2:18" ht="30" customHeight="1" x14ac:dyDescent="0.45">
      <c r="B155" s="9" t="s">
        <v>1387</v>
      </c>
      <c r="C155" s="9" t="s">
        <v>14</v>
      </c>
      <c r="D155" s="13" t="s">
        <v>30</v>
      </c>
      <c r="E155" s="10" t="s">
        <v>27</v>
      </c>
      <c r="F155" s="11">
        <v>46065</v>
      </c>
      <c r="G155" s="12" t="s">
        <v>316</v>
      </c>
      <c r="H155" s="12" t="s">
        <v>317</v>
      </c>
      <c r="I155" s="40">
        <v>425</v>
      </c>
      <c r="J155" s="15"/>
      <c r="K155" s="15"/>
      <c r="L155" s="14" t="s">
        <v>318</v>
      </c>
      <c r="M155" s="41" t="s">
        <v>29</v>
      </c>
      <c r="N155" s="16"/>
      <c r="O155" s="15"/>
      <c r="P155" s="17"/>
      <c r="Q155" s="17"/>
      <c r="R155" s="18" t="s">
        <v>31</v>
      </c>
    </row>
    <row r="156" spans="2:18" ht="30" customHeight="1" x14ac:dyDescent="0.45">
      <c r="B156" s="9" t="s">
        <v>1387</v>
      </c>
      <c r="C156" s="9" t="s">
        <v>10</v>
      </c>
      <c r="D156" s="13" t="s">
        <v>30</v>
      </c>
      <c r="E156" s="10" t="s">
        <v>27</v>
      </c>
      <c r="F156" s="11">
        <v>46065</v>
      </c>
      <c r="G156" s="12" t="s">
        <v>349</v>
      </c>
      <c r="H156" s="12" t="s">
        <v>350</v>
      </c>
      <c r="I156" s="39">
        <v>0</v>
      </c>
      <c r="J156" s="15"/>
      <c r="K156" s="15"/>
      <c r="L156" s="14" t="s">
        <v>351</v>
      </c>
      <c r="M156" s="41" t="s">
        <v>29</v>
      </c>
      <c r="N156" s="16"/>
      <c r="O156" s="15"/>
      <c r="P156" s="17"/>
      <c r="Q156" s="17"/>
      <c r="R156" s="18" t="s">
        <v>41</v>
      </c>
    </row>
    <row r="157" spans="2:18" ht="30" customHeight="1" x14ac:dyDescent="0.45">
      <c r="B157" s="9" t="s">
        <v>1387</v>
      </c>
      <c r="C157" s="9" t="s">
        <v>17</v>
      </c>
      <c r="D157" s="13" t="s">
        <v>110</v>
      </c>
      <c r="E157" s="10" t="s">
        <v>27</v>
      </c>
      <c r="F157" s="11">
        <v>46065</v>
      </c>
      <c r="G157" s="12" t="s">
        <v>649</v>
      </c>
      <c r="H157" s="12" t="s">
        <v>650</v>
      </c>
      <c r="I157" s="39">
        <v>0</v>
      </c>
      <c r="J157" s="15"/>
      <c r="K157" s="15"/>
      <c r="L157" s="14" t="s">
        <v>651</v>
      </c>
      <c r="M157" s="41" t="s">
        <v>29</v>
      </c>
      <c r="N157" s="16"/>
      <c r="O157" s="15"/>
      <c r="P157" s="17"/>
      <c r="Q157" s="17"/>
      <c r="R157" s="18" t="s">
        <v>41</v>
      </c>
    </row>
    <row r="158" spans="2:18" ht="30" customHeight="1" x14ac:dyDescent="0.45">
      <c r="B158" s="9" t="s">
        <v>1387</v>
      </c>
      <c r="C158" s="9" t="s">
        <v>16</v>
      </c>
      <c r="D158" s="13" t="s">
        <v>95</v>
      </c>
      <c r="E158" s="10" t="s">
        <v>27</v>
      </c>
      <c r="F158" s="11">
        <v>46064</v>
      </c>
      <c r="G158" s="12" t="s">
        <v>325</v>
      </c>
      <c r="H158" s="12" t="s">
        <v>326</v>
      </c>
      <c r="I158" s="40">
        <v>6480</v>
      </c>
      <c r="J158" s="15"/>
      <c r="K158" s="15"/>
      <c r="L158" s="14" t="s">
        <v>327</v>
      </c>
      <c r="M158" s="41" t="s">
        <v>29</v>
      </c>
      <c r="N158" s="16"/>
      <c r="O158" s="15"/>
      <c r="P158" s="17"/>
      <c r="Q158" s="17"/>
      <c r="R158" s="18" t="s">
        <v>328</v>
      </c>
    </row>
    <row r="159" spans="2:18" ht="30" customHeight="1" x14ac:dyDescent="0.45">
      <c r="B159" s="9" t="s">
        <v>1387</v>
      </c>
      <c r="C159" s="9" t="s">
        <v>17</v>
      </c>
      <c r="D159" s="13" t="s">
        <v>110</v>
      </c>
      <c r="E159" s="10" t="s">
        <v>27</v>
      </c>
      <c r="F159" s="11">
        <v>46063</v>
      </c>
      <c r="G159" s="12" t="s">
        <v>334</v>
      </c>
      <c r="H159" s="12" t="s">
        <v>335</v>
      </c>
      <c r="I159" s="39">
        <v>0</v>
      </c>
      <c r="J159" s="15"/>
      <c r="K159" s="15"/>
      <c r="L159" s="14" t="s">
        <v>336</v>
      </c>
      <c r="M159" s="41" t="s">
        <v>29</v>
      </c>
      <c r="N159" s="16"/>
      <c r="O159" s="15"/>
      <c r="P159" s="17"/>
      <c r="Q159" s="17"/>
      <c r="R159" s="18" t="s">
        <v>31</v>
      </c>
    </row>
    <row r="160" spans="2:18" ht="30" customHeight="1" x14ac:dyDescent="0.45">
      <c r="B160" s="9" t="s">
        <v>1387</v>
      </c>
      <c r="C160" s="9" t="s">
        <v>15</v>
      </c>
      <c r="D160" s="13" t="s">
        <v>30</v>
      </c>
      <c r="E160" s="10" t="s">
        <v>27</v>
      </c>
      <c r="F160" s="11">
        <v>46063</v>
      </c>
      <c r="G160" s="12" t="s">
        <v>322</v>
      </c>
      <c r="H160" s="12" t="s">
        <v>323</v>
      </c>
      <c r="I160" s="39">
        <v>0</v>
      </c>
      <c r="J160" s="15"/>
      <c r="K160" s="15"/>
      <c r="L160" s="14" t="s">
        <v>324</v>
      </c>
      <c r="M160" s="41" t="s">
        <v>29</v>
      </c>
      <c r="N160" s="16"/>
      <c r="O160" s="15"/>
      <c r="P160" s="17"/>
      <c r="Q160" s="17"/>
      <c r="R160" s="18" t="s">
        <v>31</v>
      </c>
    </row>
    <row r="161" spans="2:18" ht="30" customHeight="1" x14ac:dyDescent="0.45">
      <c r="B161" s="9" t="s">
        <v>1387</v>
      </c>
      <c r="C161" s="9" t="s">
        <v>15</v>
      </c>
      <c r="D161" s="13" t="s">
        <v>30</v>
      </c>
      <c r="E161" s="10" t="s">
        <v>27</v>
      </c>
      <c r="F161" s="11">
        <v>46062</v>
      </c>
      <c r="G161" s="12" t="s">
        <v>644</v>
      </c>
      <c r="H161" s="12" t="s">
        <v>645</v>
      </c>
      <c r="I161" s="39">
        <v>0</v>
      </c>
      <c r="J161" s="15"/>
      <c r="K161" s="15"/>
      <c r="L161" s="14" t="s">
        <v>646</v>
      </c>
      <c r="M161" s="41" t="s">
        <v>29</v>
      </c>
      <c r="N161" s="16"/>
      <c r="O161" s="15"/>
      <c r="P161" s="17"/>
      <c r="Q161" s="17"/>
      <c r="R161" s="18" t="s">
        <v>41</v>
      </c>
    </row>
    <row r="162" spans="2:18" ht="30" customHeight="1" x14ac:dyDescent="0.45">
      <c r="B162" s="9" t="s">
        <v>1387</v>
      </c>
      <c r="C162" s="9" t="s">
        <v>17</v>
      </c>
      <c r="D162" s="13" t="s">
        <v>30</v>
      </c>
      <c r="E162" s="10" t="s">
        <v>27</v>
      </c>
      <c r="F162" s="11">
        <v>46059</v>
      </c>
      <c r="G162" s="12" t="s">
        <v>340</v>
      </c>
      <c r="H162" s="12" t="s">
        <v>341</v>
      </c>
      <c r="I162" s="39">
        <v>0</v>
      </c>
      <c r="J162" s="15"/>
      <c r="K162" s="15"/>
      <c r="L162" s="14" t="s">
        <v>342</v>
      </c>
      <c r="M162" s="41" t="s">
        <v>29</v>
      </c>
      <c r="N162" s="16"/>
      <c r="O162" s="15"/>
      <c r="P162" s="17"/>
      <c r="Q162" s="17"/>
      <c r="R162" s="18" t="s">
        <v>31</v>
      </c>
    </row>
    <row r="163" spans="2:18" ht="30" customHeight="1" x14ac:dyDescent="0.45">
      <c r="B163" s="9" t="s">
        <v>1387</v>
      </c>
      <c r="C163" s="9" t="s">
        <v>16</v>
      </c>
      <c r="D163" s="13" t="s">
        <v>30</v>
      </c>
      <c r="E163" s="10" t="s">
        <v>27</v>
      </c>
      <c r="F163" s="11">
        <v>46059</v>
      </c>
      <c r="G163" s="12" t="s">
        <v>285</v>
      </c>
      <c r="H163" s="12" t="s">
        <v>286</v>
      </c>
      <c r="I163" s="39">
        <v>0</v>
      </c>
      <c r="J163" s="15"/>
      <c r="K163" s="15"/>
      <c r="L163" s="14" t="s">
        <v>287</v>
      </c>
      <c r="M163" s="41" t="s">
        <v>29</v>
      </c>
      <c r="N163" s="16"/>
      <c r="O163" s="15"/>
      <c r="P163" s="17"/>
      <c r="Q163" s="17"/>
      <c r="R163" s="18" t="s">
        <v>41</v>
      </c>
    </row>
    <row r="164" spans="2:18" ht="30" customHeight="1" x14ac:dyDescent="0.45">
      <c r="B164" s="9" t="s">
        <v>1387</v>
      </c>
      <c r="C164" s="9" t="s">
        <v>10</v>
      </c>
      <c r="D164" s="13" t="s">
        <v>35</v>
      </c>
      <c r="E164" s="10" t="s">
        <v>1381</v>
      </c>
      <c r="F164" s="11">
        <v>46057</v>
      </c>
      <c r="G164" s="12" t="s">
        <v>261</v>
      </c>
      <c r="H164" s="12" t="s">
        <v>263</v>
      </c>
      <c r="I164" s="39">
        <v>0</v>
      </c>
      <c r="J164" s="15"/>
      <c r="K164" s="15"/>
      <c r="L164" s="14" t="s">
        <v>264</v>
      </c>
      <c r="M164" s="41" t="s">
        <v>29</v>
      </c>
      <c r="N164" s="16"/>
      <c r="O164" s="15"/>
      <c r="P164" s="17"/>
      <c r="Q164" s="17"/>
      <c r="R164" s="18" t="s">
        <v>262</v>
      </c>
    </row>
    <row r="165" spans="2:18" ht="30" customHeight="1" x14ac:dyDescent="0.45">
      <c r="B165" s="9" t="s">
        <v>1387</v>
      </c>
      <c r="C165" s="9" t="s">
        <v>19</v>
      </c>
      <c r="D165" s="13" t="s">
        <v>30</v>
      </c>
      <c r="E165" s="10" t="s">
        <v>27</v>
      </c>
      <c r="F165" s="11">
        <v>46056</v>
      </c>
      <c r="G165" s="12" t="s">
        <v>631</v>
      </c>
      <c r="H165" s="12" t="s">
        <v>452</v>
      </c>
      <c r="I165" s="39">
        <v>0</v>
      </c>
      <c r="J165" s="15"/>
      <c r="K165" s="15"/>
      <c r="L165" s="14" t="s">
        <v>632</v>
      </c>
      <c r="M165" s="41" t="s">
        <v>29</v>
      </c>
      <c r="N165" s="16"/>
      <c r="O165" s="15"/>
      <c r="P165" s="17"/>
      <c r="Q165" s="17"/>
      <c r="R165" s="18" t="s">
        <v>31</v>
      </c>
    </row>
    <row r="166" spans="2:18" ht="30" customHeight="1" x14ac:dyDescent="0.45">
      <c r="B166" s="9" t="s">
        <v>1387</v>
      </c>
      <c r="C166" s="9" t="s">
        <v>14</v>
      </c>
      <c r="D166" s="13" t="s">
        <v>30</v>
      </c>
      <c r="E166" s="10" t="s">
        <v>27</v>
      </c>
      <c r="F166" s="11">
        <v>46056</v>
      </c>
      <c r="G166" s="12" t="s">
        <v>282</v>
      </c>
      <c r="H166" s="12" t="s">
        <v>283</v>
      </c>
      <c r="I166" s="39">
        <v>0</v>
      </c>
      <c r="J166" s="15"/>
      <c r="K166" s="15"/>
      <c r="L166" s="14" t="s">
        <v>284</v>
      </c>
      <c r="M166" s="41" t="s">
        <v>29</v>
      </c>
      <c r="N166" s="16"/>
      <c r="O166" s="15"/>
      <c r="P166" s="17"/>
      <c r="Q166" s="17"/>
      <c r="R166" s="18" t="s">
        <v>31</v>
      </c>
    </row>
    <row r="167" spans="2:18" ht="30" customHeight="1" x14ac:dyDescent="0.45">
      <c r="B167" s="9" t="s">
        <v>1387</v>
      </c>
      <c r="C167" s="9" t="s">
        <v>15</v>
      </c>
      <c r="D167" s="13" t="s">
        <v>271</v>
      </c>
      <c r="E167" s="10" t="s">
        <v>27</v>
      </c>
      <c r="F167" s="11">
        <v>46055</v>
      </c>
      <c r="G167" s="12" t="s">
        <v>269</v>
      </c>
      <c r="H167" s="12" t="s">
        <v>270</v>
      </c>
      <c r="I167" s="40">
        <v>178</v>
      </c>
      <c r="J167" s="15"/>
      <c r="K167" s="15"/>
      <c r="L167" s="14" t="s">
        <v>272</v>
      </c>
      <c r="M167" s="41" t="s">
        <v>29</v>
      </c>
      <c r="N167" s="16"/>
      <c r="O167" s="15"/>
      <c r="P167" s="17"/>
      <c r="Q167" s="17"/>
      <c r="R167" s="18" t="s">
        <v>41</v>
      </c>
    </row>
    <row r="168" spans="2:18" ht="30" customHeight="1" x14ac:dyDescent="0.45">
      <c r="B168" s="9" t="s">
        <v>1387</v>
      </c>
      <c r="C168" s="9" t="s">
        <v>16</v>
      </c>
      <c r="D168" s="13" t="s">
        <v>267</v>
      </c>
      <c r="E168" s="10" t="s">
        <v>27</v>
      </c>
      <c r="F168" s="11">
        <v>46055</v>
      </c>
      <c r="G168" s="12" t="s">
        <v>265</v>
      </c>
      <c r="H168" s="12" t="s">
        <v>266</v>
      </c>
      <c r="I168" s="39">
        <v>0</v>
      </c>
      <c r="J168" s="15"/>
      <c r="K168" s="15"/>
      <c r="L168" s="14" t="s">
        <v>268</v>
      </c>
      <c r="M168" s="41" t="s">
        <v>29</v>
      </c>
      <c r="N168" s="16"/>
      <c r="O168" s="15"/>
      <c r="P168" s="17"/>
      <c r="Q168" s="17"/>
      <c r="R168" s="18" t="s">
        <v>31</v>
      </c>
    </row>
    <row r="169" spans="2:18" ht="30" customHeight="1" x14ac:dyDescent="0.45">
      <c r="B169" s="9" t="s">
        <v>1387</v>
      </c>
      <c r="C169" s="9" t="s">
        <v>17</v>
      </c>
      <c r="D169" s="13" t="s">
        <v>30</v>
      </c>
      <c r="E169" s="10" t="s">
        <v>27</v>
      </c>
      <c r="F169" s="11">
        <v>46052</v>
      </c>
      <c r="G169" s="12" t="s">
        <v>301</v>
      </c>
      <c r="H169" s="12" t="s">
        <v>302</v>
      </c>
      <c r="I169" s="39">
        <v>0</v>
      </c>
      <c r="J169" s="15"/>
      <c r="K169" s="15"/>
      <c r="L169" s="14" t="s">
        <v>303</v>
      </c>
      <c r="M169" s="41" t="s">
        <v>29</v>
      </c>
      <c r="N169" s="16"/>
      <c r="O169" s="15"/>
      <c r="P169" s="17"/>
      <c r="Q169" s="17"/>
      <c r="R169" s="18" t="s">
        <v>41</v>
      </c>
    </row>
    <row r="170" spans="2:18" ht="30" customHeight="1" x14ac:dyDescent="0.45">
      <c r="B170" s="9" t="s">
        <v>1387</v>
      </c>
      <c r="C170" s="9" t="s">
        <v>14</v>
      </c>
      <c r="D170" s="13" t="s">
        <v>219</v>
      </c>
      <c r="E170" s="10" t="s">
        <v>1381</v>
      </c>
      <c r="F170" s="11">
        <v>46051</v>
      </c>
      <c r="G170" s="12" t="s">
        <v>217</v>
      </c>
      <c r="H170" s="12" t="s">
        <v>218</v>
      </c>
      <c r="I170" s="39">
        <v>0</v>
      </c>
      <c r="J170" s="15"/>
      <c r="K170" s="15"/>
      <c r="L170" s="14" t="s">
        <v>220</v>
      </c>
      <c r="M170" s="41" t="s">
        <v>29</v>
      </c>
      <c r="N170" s="16"/>
      <c r="O170" s="15"/>
      <c r="P170" s="17"/>
      <c r="Q170" s="17"/>
      <c r="R170" s="18" t="s">
        <v>41</v>
      </c>
    </row>
    <row r="171" spans="2:18" ht="30" customHeight="1" x14ac:dyDescent="0.45">
      <c r="B171" s="9" t="s">
        <v>1387</v>
      </c>
      <c r="C171" s="9" t="s">
        <v>12</v>
      </c>
      <c r="D171" s="13" t="s">
        <v>226</v>
      </c>
      <c r="E171" s="10" t="s">
        <v>27</v>
      </c>
      <c r="F171" s="11">
        <v>46051</v>
      </c>
      <c r="G171" s="12" t="s">
        <v>224</v>
      </c>
      <c r="H171" s="12" t="s">
        <v>225</v>
      </c>
      <c r="I171" s="39">
        <v>0</v>
      </c>
      <c r="J171" s="15"/>
      <c r="K171" s="15"/>
      <c r="L171" s="14" t="s">
        <v>227</v>
      </c>
      <c r="M171" s="41" t="s">
        <v>29</v>
      </c>
      <c r="N171" s="16"/>
      <c r="O171" s="15"/>
      <c r="P171" s="17"/>
      <c r="Q171" s="17"/>
      <c r="R171" s="18" t="s">
        <v>41</v>
      </c>
    </row>
    <row r="172" spans="2:18" ht="30" customHeight="1" x14ac:dyDescent="0.45">
      <c r="B172" s="9" t="s">
        <v>1387</v>
      </c>
      <c r="C172" s="9" t="s">
        <v>9</v>
      </c>
      <c r="D172" s="13" t="s">
        <v>30</v>
      </c>
      <c r="E172" s="10" t="s">
        <v>27</v>
      </c>
      <c r="F172" s="11">
        <v>46049</v>
      </c>
      <c r="G172" s="12" t="s">
        <v>273</v>
      </c>
      <c r="H172" s="12" t="s">
        <v>274</v>
      </c>
      <c r="I172" s="40">
        <v>1300</v>
      </c>
      <c r="J172" s="15"/>
      <c r="K172" s="15"/>
      <c r="L172" s="14" t="s">
        <v>275</v>
      </c>
      <c r="M172" s="41" t="s">
        <v>29</v>
      </c>
      <c r="N172" s="16"/>
      <c r="O172" s="15"/>
      <c r="P172" s="17"/>
      <c r="Q172" s="17"/>
      <c r="R172" s="18" t="s">
        <v>31</v>
      </c>
    </row>
    <row r="173" spans="2:18" ht="30" customHeight="1" x14ac:dyDescent="0.45">
      <c r="B173" s="9" t="s">
        <v>1387</v>
      </c>
      <c r="C173" s="9" t="s">
        <v>12</v>
      </c>
      <c r="D173" s="13" t="s">
        <v>186</v>
      </c>
      <c r="E173" s="10" t="s">
        <v>27</v>
      </c>
      <c r="F173" s="11">
        <v>46049</v>
      </c>
      <c r="G173" s="12" t="s">
        <v>184</v>
      </c>
      <c r="H173" s="12" t="s">
        <v>185</v>
      </c>
      <c r="I173" s="39">
        <v>0</v>
      </c>
      <c r="J173" s="15"/>
      <c r="K173" s="15"/>
      <c r="L173" s="14" t="s">
        <v>187</v>
      </c>
      <c r="M173" s="41" t="s">
        <v>29</v>
      </c>
      <c r="N173" s="16"/>
      <c r="O173" s="15"/>
      <c r="P173" s="17"/>
      <c r="Q173" s="17"/>
      <c r="R173" s="18" t="s">
        <v>41</v>
      </c>
    </row>
    <row r="174" spans="2:18" ht="30" customHeight="1" x14ac:dyDescent="0.45">
      <c r="B174" s="9" t="s">
        <v>1387</v>
      </c>
      <c r="C174" s="9" t="s">
        <v>10</v>
      </c>
      <c r="D174" s="13" t="s">
        <v>52</v>
      </c>
      <c r="E174" s="10" t="s">
        <v>27</v>
      </c>
      <c r="F174" s="11">
        <v>46049</v>
      </c>
      <c r="G174" s="12" t="s">
        <v>307</v>
      </c>
      <c r="H174" s="12" t="s">
        <v>308</v>
      </c>
      <c r="I174" s="39">
        <v>0</v>
      </c>
      <c r="J174" s="15"/>
      <c r="K174" s="15"/>
      <c r="L174" s="14" t="s">
        <v>309</v>
      </c>
      <c r="M174" s="41" t="s">
        <v>29</v>
      </c>
      <c r="N174" s="16"/>
      <c r="O174" s="15"/>
      <c r="P174" s="17"/>
      <c r="Q174" s="17"/>
      <c r="R174" s="18" t="s">
        <v>41</v>
      </c>
    </row>
    <row r="175" spans="2:18" ht="30" customHeight="1" x14ac:dyDescent="0.45">
      <c r="B175" s="9" t="s">
        <v>1387</v>
      </c>
      <c r="C175" s="9" t="s">
        <v>14</v>
      </c>
      <c r="D175" s="13" t="s">
        <v>110</v>
      </c>
      <c r="E175" s="10" t="s">
        <v>1381</v>
      </c>
      <c r="F175" s="11">
        <v>46049</v>
      </c>
      <c r="G175" s="12" t="s">
        <v>198</v>
      </c>
      <c r="H175" s="12" t="s">
        <v>199</v>
      </c>
      <c r="I175" s="39">
        <v>0</v>
      </c>
      <c r="J175" s="15"/>
      <c r="K175" s="15"/>
      <c r="L175" s="14" t="s">
        <v>200</v>
      </c>
      <c r="M175" s="41" t="s">
        <v>29</v>
      </c>
      <c r="N175" s="16"/>
      <c r="O175" s="15"/>
      <c r="P175" s="17"/>
      <c r="Q175" s="17"/>
      <c r="R175" s="18" t="s">
        <v>41</v>
      </c>
    </row>
    <row r="176" spans="2:18" ht="30" customHeight="1" x14ac:dyDescent="0.45">
      <c r="B176" s="9" t="s">
        <v>1387</v>
      </c>
      <c r="C176" s="9" t="s">
        <v>12</v>
      </c>
      <c r="D176" s="13" t="s">
        <v>151</v>
      </c>
      <c r="E176" s="10" t="s">
        <v>27</v>
      </c>
      <c r="F176" s="11">
        <v>46048</v>
      </c>
      <c r="G176" s="12" t="s">
        <v>189</v>
      </c>
      <c r="H176" s="12" t="s">
        <v>190</v>
      </c>
      <c r="I176" s="39">
        <v>0</v>
      </c>
      <c r="J176" s="15"/>
      <c r="K176" s="15"/>
      <c r="L176" s="14" t="s">
        <v>191</v>
      </c>
      <c r="M176" s="41" t="s">
        <v>29</v>
      </c>
      <c r="N176" s="16"/>
      <c r="O176" s="15"/>
      <c r="P176" s="17"/>
      <c r="Q176" s="17"/>
      <c r="R176" s="18" t="s">
        <v>31</v>
      </c>
    </row>
    <row r="177" spans="2:18" ht="30" customHeight="1" x14ac:dyDescent="0.45">
      <c r="B177" s="9" t="s">
        <v>1387</v>
      </c>
      <c r="C177" s="9" t="s">
        <v>19</v>
      </c>
      <c r="D177" s="13" t="s">
        <v>110</v>
      </c>
      <c r="E177" s="10" t="s">
        <v>27</v>
      </c>
      <c r="F177" s="11">
        <v>46045</v>
      </c>
      <c r="G177" s="12" t="s">
        <v>167</v>
      </c>
      <c r="H177" s="12" t="s">
        <v>168</v>
      </c>
      <c r="I177" s="39">
        <v>0</v>
      </c>
      <c r="J177" s="15"/>
      <c r="K177" s="15"/>
      <c r="L177" s="14" t="s">
        <v>169</v>
      </c>
      <c r="M177" s="41" t="s">
        <v>29</v>
      </c>
      <c r="N177" s="16"/>
      <c r="O177" s="15"/>
      <c r="P177" s="17"/>
      <c r="Q177" s="17"/>
      <c r="R177" s="18" t="s">
        <v>170</v>
      </c>
    </row>
    <row r="178" spans="2:18" ht="30" customHeight="1" x14ac:dyDescent="0.45">
      <c r="B178" s="9" t="s">
        <v>1387</v>
      </c>
      <c r="C178" s="9" t="s">
        <v>12</v>
      </c>
      <c r="D178" s="13" t="s">
        <v>30</v>
      </c>
      <c r="E178" s="10" t="s">
        <v>27</v>
      </c>
      <c r="F178" s="11">
        <v>46044</v>
      </c>
      <c r="G178" s="12" t="s">
        <v>139</v>
      </c>
      <c r="H178" s="12" t="s">
        <v>140</v>
      </c>
      <c r="I178" s="40">
        <v>5100</v>
      </c>
      <c r="J178" s="15"/>
      <c r="K178" s="15"/>
      <c r="L178" s="14" t="s">
        <v>141</v>
      </c>
      <c r="M178" s="41" t="s">
        <v>29</v>
      </c>
      <c r="N178" s="16"/>
      <c r="O178" s="15"/>
      <c r="P178" s="17"/>
      <c r="Q178" s="17"/>
      <c r="R178" s="18" t="s">
        <v>31</v>
      </c>
    </row>
    <row r="179" spans="2:18" ht="30" customHeight="1" x14ac:dyDescent="0.45">
      <c r="B179" s="9" t="s">
        <v>1387</v>
      </c>
      <c r="C179" s="9" t="s">
        <v>12</v>
      </c>
      <c r="D179" s="13" t="s">
        <v>30</v>
      </c>
      <c r="E179" s="10" t="s">
        <v>27</v>
      </c>
      <c r="F179" s="11">
        <v>46044</v>
      </c>
      <c r="G179" s="12" t="s">
        <v>192</v>
      </c>
      <c r="H179" s="12" t="s">
        <v>193</v>
      </c>
      <c r="I179" s="39">
        <v>0</v>
      </c>
      <c r="J179" s="15"/>
      <c r="K179" s="15"/>
      <c r="L179" s="14" t="s">
        <v>194</v>
      </c>
      <c r="M179" s="41" t="s">
        <v>29</v>
      </c>
      <c r="N179" s="16"/>
      <c r="O179" s="15"/>
      <c r="P179" s="17"/>
      <c r="Q179" s="17"/>
      <c r="R179" s="18" t="s">
        <v>41</v>
      </c>
    </row>
    <row r="180" spans="2:18" ht="30" customHeight="1" x14ac:dyDescent="0.45">
      <c r="B180" s="9" t="s">
        <v>1387</v>
      </c>
      <c r="C180" s="9" t="s">
        <v>14</v>
      </c>
      <c r="D180" s="13" t="s">
        <v>110</v>
      </c>
      <c r="E180" s="10" t="s">
        <v>27</v>
      </c>
      <c r="F180" s="11">
        <v>46044</v>
      </c>
      <c r="G180" s="12" t="s">
        <v>126</v>
      </c>
      <c r="H180" s="12" t="s">
        <v>127</v>
      </c>
      <c r="I180" s="39">
        <v>0</v>
      </c>
      <c r="J180" s="15"/>
      <c r="K180" s="15"/>
      <c r="L180" s="14" t="s">
        <v>128</v>
      </c>
      <c r="M180" s="41" t="s">
        <v>29</v>
      </c>
      <c r="N180" s="16"/>
      <c r="O180" s="15"/>
      <c r="P180" s="17"/>
      <c r="Q180" s="17"/>
      <c r="R180" s="18" t="s">
        <v>31</v>
      </c>
    </row>
    <row r="181" spans="2:18" ht="30" customHeight="1" x14ac:dyDescent="0.45">
      <c r="B181" s="9" t="s">
        <v>1387</v>
      </c>
      <c r="C181" s="9" t="s">
        <v>9</v>
      </c>
      <c r="D181" s="13" t="s">
        <v>30</v>
      </c>
      <c r="E181" s="10" t="s">
        <v>1381</v>
      </c>
      <c r="F181" s="11">
        <v>46043</v>
      </c>
      <c r="G181" s="12" t="s">
        <v>153</v>
      </c>
      <c r="H181" s="12" t="s">
        <v>154</v>
      </c>
      <c r="I181" s="39">
        <v>0</v>
      </c>
      <c r="J181" s="15"/>
      <c r="K181" s="15"/>
      <c r="L181" s="14" t="s">
        <v>155</v>
      </c>
      <c r="M181" s="41" t="s">
        <v>29</v>
      </c>
      <c r="N181" s="16"/>
      <c r="O181" s="15"/>
      <c r="P181" s="17"/>
      <c r="Q181" s="17"/>
      <c r="R181" s="18" t="s">
        <v>31</v>
      </c>
    </row>
    <row r="182" spans="2:18" ht="30" customHeight="1" x14ac:dyDescent="0.45">
      <c r="B182" s="9" t="s">
        <v>1387</v>
      </c>
      <c r="C182" s="9" t="s">
        <v>10</v>
      </c>
      <c r="D182" s="13" t="s">
        <v>165</v>
      </c>
      <c r="E182" s="10" t="s">
        <v>27</v>
      </c>
      <c r="F182" s="11">
        <v>46043</v>
      </c>
      <c r="G182" s="12" t="s">
        <v>163</v>
      </c>
      <c r="H182" s="12" t="s">
        <v>164</v>
      </c>
      <c r="I182" s="39">
        <v>0</v>
      </c>
      <c r="J182" s="15"/>
      <c r="K182" s="15"/>
      <c r="L182" s="14" t="s">
        <v>166</v>
      </c>
      <c r="M182" s="41" t="s">
        <v>29</v>
      </c>
      <c r="N182" s="16"/>
      <c r="O182" s="15"/>
      <c r="P182" s="17"/>
      <c r="Q182" s="17"/>
      <c r="R182" s="18" t="s">
        <v>41</v>
      </c>
    </row>
    <row r="183" spans="2:18" ht="30" customHeight="1" x14ac:dyDescent="0.45">
      <c r="B183" s="9" t="s">
        <v>1387</v>
      </c>
      <c r="C183" s="9" t="s">
        <v>10</v>
      </c>
      <c r="D183" s="13" t="s">
        <v>30</v>
      </c>
      <c r="E183" s="10" t="s">
        <v>27</v>
      </c>
      <c r="F183" s="11">
        <v>46042</v>
      </c>
      <c r="G183" s="12" t="s">
        <v>159</v>
      </c>
      <c r="H183" s="12" t="s">
        <v>372</v>
      </c>
      <c r="I183" s="39">
        <v>0</v>
      </c>
      <c r="J183" s="15"/>
      <c r="K183" s="15"/>
      <c r="L183" s="14" t="s">
        <v>373</v>
      </c>
      <c r="M183" s="41" t="s">
        <v>29</v>
      </c>
      <c r="N183" s="16"/>
      <c r="O183" s="15"/>
      <c r="P183" s="17"/>
      <c r="Q183" s="17"/>
      <c r="R183" s="18" t="s">
        <v>31</v>
      </c>
    </row>
    <row r="184" spans="2:18" ht="30" customHeight="1" x14ac:dyDescent="0.45">
      <c r="B184" s="9" t="s">
        <v>1387</v>
      </c>
      <c r="C184" s="9" t="s">
        <v>12</v>
      </c>
      <c r="D184" s="13" t="s">
        <v>30</v>
      </c>
      <c r="E184" s="10" t="s">
        <v>1381</v>
      </c>
      <c r="F184" s="11">
        <v>46042</v>
      </c>
      <c r="G184" s="12" t="s">
        <v>387</v>
      </c>
      <c r="H184" s="12" t="s">
        <v>388</v>
      </c>
      <c r="I184" s="39">
        <v>0</v>
      </c>
      <c r="J184" s="15"/>
      <c r="K184" s="15"/>
      <c r="L184" s="14" t="s">
        <v>389</v>
      </c>
      <c r="M184" s="41" t="s">
        <v>29</v>
      </c>
      <c r="N184" s="16"/>
      <c r="O184" s="15"/>
      <c r="P184" s="17"/>
      <c r="Q184" s="17"/>
      <c r="R184" s="18" t="s">
        <v>31</v>
      </c>
    </row>
    <row r="185" spans="2:18" ht="30" customHeight="1" x14ac:dyDescent="0.45">
      <c r="B185" s="9" t="s">
        <v>1387</v>
      </c>
      <c r="C185" s="9" t="s">
        <v>12</v>
      </c>
      <c r="D185" s="13" t="s">
        <v>144</v>
      </c>
      <c r="E185" s="10" t="s">
        <v>27</v>
      </c>
      <c r="F185" s="11">
        <v>46042</v>
      </c>
      <c r="G185" s="12" t="s">
        <v>142</v>
      </c>
      <c r="H185" s="12" t="s">
        <v>143</v>
      </c>
      <c r="I185" s="39">
        <v>0</v>
      </c>
      <c r="J185" s="15"/>
      <c r="K185" s="15"/>
      <c r="L185" s="14" t="s">
        <v>145</v>
      </c>
      <c r="M185" s="41" t="s">
        <v>29</v>
      </c>
      <c r="N185" s="16"/>
      <c r="O185" s="15"/>
      <c r="P185" s="17"/>
      <c r="Q185" s="17"/>
      <c r="R185" s="18" t="s">
        <v>31</v>
      </c>
    </row>
    <row r="186" spans="2:18" ht="30" customHeight="1" x14ac:dyDescent="0.45">
      <c r="B186" s="9" t="s">
        <v>1387</v>
      </c>
      <c r="C186" s="9" t="s">
        <v>15</v>
      </c>
      <c r="D186" s="13" t="s">
        <v>133</v>
      </c>
      <c r="E186" s="10" t="s">
        <v>27</v>
      </c>
      <c r="F186" s="11">
        <v>46042</v>
      </c>
      <c r="G186" s="12" t="s">
        <v>131</v>
      </c>
      <c r="H186" s="12" t="s">
        <v>132</v>
      </c>
      <c r="I186" s="39">
        <v>0</v>
      </c>
      <c r="J186" s="15"/>
      <c r="K186" s="15"/>
      <c r="L186" s="14" t="s">
        <v>134</v>
      </c>
      <c r="M186" s="41" t="s">
        <v>29</v>
      </c>
      <c r="N186" s="16"/>
      <c r="O186" s="15"/>
      <c r="P186" s="17"/>
      <c r="Q186" s="17"/>
      <c r="R186" s="18" t="s">
        <v>135</v>
      </c>
    </row>
    <row r="187" spans="2:18" ht="30" customHeight="1" x14ac:dyDescent="0.45">
      <c r="B187" s="9" t="s">
        <v>1387</v>
      </c>
      <c r="C187" s="9" t="s">
        <v>16</v>
      </c>
      <c r="D187" s="13" t="s">
        <v>99</v>
      </c>
      <c r="E187" s="10" t="s">
        <v>27</v>
      </c>
      <c r="F187" s="11">
        <v>46036</v>
      </c>
      <c r="G187" s="12" t="s">
        <v>97</v>
      </c>
      <c r="H187" s="12" t="s">
        <v>98</v>
      </c>
      <c r="I187" s="39">
        <v>0</v>
      </c>
      <c r="J187" s="15"/>
      <c r="K187" s="15"/>
      <c r="L187" s="14" t="s">
        <v>100</v>
      </c>
      <c r="M187" s="41" t="s">
        <v>29</v>
      </c>
      <c r="N187" s="16"/>
      <c r="O187" s="15"/>
      <c r="P187" s="17"/>
      <c r="Q187" s="17"/>
      <c r="R187" s="18" t="s">
        <v>101</v>
      </c>
    </row>
    <row r="188" spans="2:18" ht="30" customHeight="1" x14ac:dyDescent="0.45">
      <c r="B188" s="9" t="s">
        <v>1387</v>
      </c>
      <c r="C188" s="9" t="s">
        <v>9</v>
      </c>
      <c r="D188" s="13" t="s">
        <v>30</v>
      </c>
      <c r="E188" s="10" t="s">
        <v>1381</v>
      </c>
      <c r="F188" s="11">
        <v>46036</v>
      </c>
      <c r="G188" s="12" t="s">
        <v>1327</v>
      </c>
      <c r="H188" s="12" t="s">
        <v>1328</v>
      </c>
      <c r="I188" s="39">
        <v>0</v>
      </c>
      <c r="J188" s="15"/>
      <c r="K188" s="15"/>
      <c r="L188" s="14" t="s">
        <v>1329</v>
      </c>
      <c r="M188" s="41" t="s">
        <v>29</v>
      </c>
      <c r="N188" s="16"/>
      <c r="O188" s="15"/>
      <c r="P188" s="17"/>
      <c r="Q188" s="17"/>
      <c r="R188" s="18"/>
    </row>
    <row r="189" spans="2:18" ht="30" customHeight="1" x14ac:dyDescent="0.45">
      <c r="B189" s="9" t="s">
        <v>1387</v>
      </c>
      <c r="C189" s="9" t="s">
        <v>19</v>
      </c>
      <c r="D189" s="13" t="s">
        <v>110</v>
      </c>
      <c r="E189" s="10" t="s">
        <v>27</v>
      </c>
      <c r="F189" s="11">
        <v>46036</v>
      </c>
      <c r="G189" s="12" t="s">
        <v>122</v>
      </c>
      <c r="H189" s="12" t="s">
        <v>123</v>
      </c>
      <c r="I189" s="39">
        <v>0</v>
      </c>
      <c r="J189" s="15"/>
      <c r="K189" s="15"/>
      <c r="L189" s="14" t="s">
        <v>124</v>
      </c>
      <c r="M189" s="41" t="s">
        <v>29</v>
      </c>
      <c r="N189" s="16"/>
      <c r="O189" s="15"/>
      <c r="P189" s="17"/>
      <c r="Q189" s="17"/>
      <c r="R189" s="18" t="s">
        <v>125</v>
      </c>
    </row>
    <row r="190" spans="2:18" ht="30" customHeight="1" x14ac:dyDescent="0.45">
      <c r="B190" s="9" t="s">
        <v>1387</v>
      </c>
      <c r="C190" s="9" t="s">
        <v>14</v>
      </c>
      <c r="D190" s="13" t="s">
        <v>110</v>
      </c>
      <c r="E190" s="10" t="s">
        <v>27</v>
      </c>
      <c r="F190" s="11">
        <v>46036</v>
      </c>
      <c r="G190" s="12" t="s">
        <v>671</v>
      </c>
      <c r="H190" s="12" t="s">
        <v>1319</v>
      </c>
      <c r="I190" s="39">
        <v>0</v>
      </c>
      <c r="J190" s="15"/>
      <c r="K190" s="15"/>
      <c r="L190" s="14" t="s">
        <v>672</v>
      </c>
      <c r="M190" s="41" t="s">
        <v>29</v>
      </c>
      <c r="N190" s="16"/>
      <c r="O190" s="15"/>
      <c r="P190" s="17"/>
      <c r="Q190" s="17"/>
      <c r="R190" s="18" t="s">
        <v>1320</v>
      </c>
    </row>
    <row r="191" spans="2:18" ht="30" customHeight="1" x14ac:dyDescent="0.45">
      <c r="B191" s="9" t="s">
        <v>1387</v>
      </c>
      <c r="C191" s="9" t="s">
        <v>9</v>
      </c>
      <c r="D191" s="13" t="s">
        <v>110</v>
      </c>
      <c r="E191" s="10" t="s">
        <v>27</v>
      </c>
      <c r="F191" s="11">
        <v>46035</v>
      </c>
      <c r="G191" s="12" t="s">
        <v>108</v>
      </c>
      <c r="H191" s="12" t="s">
        <v>109</v>
      </c>
      <c r="I191" s="39">
        <v>0</v>
      </c>
      <c r="J191" s="15"/>
      <c r="K191" s="15"/>
      <c r="L191" s="14" t="s">
        <v>111</v>
      </c>
      <c r="M191" s="41" t="s">
        <v>29</v>
      </c>
      <c r="N191" s="16"/>
      <c r="O191" s="15"/>
      <c r="P191" s="17"/>
      <c r="Q191" s="17"/>
      <c r="R191" s="18" t="s">
        <v>41</v>
      </c>
    </row>
    <row r="192" spans="2:18" ht="30" customHeight="1" x14ac:dyDescent="0.45">
      <c r="B192" s="9" t="s">
        <v>1387</v>
      </c>
      <c r="C192" s="9" t="s">
        <v>10</v>
      </c>
      <c r="D192" s="13" t="s">
        <v>30</v>
      </c>
      <c r="E192" s="10" t="s">
        <v>27</v>
      </c>
      <c r="F192" s="11">
        <v>46034</v>
      </c>
      <c r="G192" s="12" t="s">
        <v>276</v>
      </c>
      <c r="H192" s="12" t="s">
        <v>277</v>
      </c>
      <c r="I192" s="40">
        <v>24250</v>
      </c>
      <c r="J192" s="15"/>
      <c r="K192" s="15"/>
      <c r="L192" s="14" t="s">
        <v>278</v>
      </c>
      <c r="M192" s="41" t="s">
        <v>29</v>
      </c>
      <c r="N192" s="16"/>
      <c r="O192" s="15"/>
      <c r="P192" s="17"/>
      <c r="Q192" s="17"/>
      <c r="R192" s="18" t="s">
        <v>32</v>
      </c>
    </row>
    <row r="193" spans="2:18" ht="30" customHeight="1" x14ac:dyDescent="0.45">
      <c r="B193" s="9" t="s">
        <v>1387</v>
      </c>
      <c r="C193" s="9" t="s">
        <v>10</v>
      </c>
      <c r="D193" s="13" t="s">
        <v>52</v>
      </c>
      <c r="E193" s="10" t="s">
        <v>27</v>
      </c>
      <c r="F193" s="11">
        <v>46034</v>
      </c>
      <c r="G193" s="12" t="s">
        <v>112</v>
      </c>
      <c r="H193" s="12" t="s">
        <v>113</v>
      </c>
      <c r="I193" s="39">
        <v>0</v>
      </c>
      <c r="J193" s="15"/>
      <c r="K193" s="15"/>
      <c r="L193" s="14" t="s">
        <v>114</v>
      </c>
      <c r="M193" s="41" t="s">
        <v>29</v>
      </c>
      <c r="N193" s="16"/>
      <c r="O193" s="15"/>
      <c r="P193" s="17"/>
      <c r="Q193" s="17"/>
      <c r="R193" s="18" t="s">
        <v>115</v>
      </c>
    </row>
    <row r="194" spans="2:18" ht="30" customHeight="1" x14ac:dyDescent="0.45">
      <c r="B194" s="9" t="s">
        <v>1387</v>
      </c>
      <c r="C194" s="9" t="s">
        <v>16</v>
      </c>
      <c r="D194" s="13" t="s">
        <v>42</v>
      </c>
      <c r="E194" s="10" t="s">
        <v>27</v>
      </c>
      <c r="F194" s="11">
        <v>46034</v>
      </c>
      <c r="G194" s="12" t="s">
        <v>84</v>
      </c>
      <c r="H194" s="12" t="s">
        <v>85</v>
      </c>
      <c r="I194" s="39">
        <v>0</v>
      </c>
      <c r="J194" s="15"/>
      <c r="K194" s="15"/>
      <c r="L194" s="14" t="s">
        <v>86</v>
      </c>
      <c r="M194" s="41" t="s">
        <v>29</v>
      </c>
      <c r="N194" s="16"/>
      <c r="O194" s="15"/>
      <c r="P194" s="17" t="str">
        <f>IF(R194="Public","x","")</f>
        <v/>
      </c>
      <c r="Q194" s="17"/>
      <c r="R194" s="18" t="s">
        <v>41</v>
      </c>
    </row>
    <row r="195" spans="2:18" ht="30" customHeight="1" x14ac:dyDescent="0.45">
      <c r="B195" s="9" t="s">
        <v>1387</v>
      </c>
      <c r="C195" s="9" t="s">
        <v>10</v>
      </c>
      <c r="D195" s="13" t="s">
        <v>30</v>
      </c>
      <c r="E195" s="10" t="s">
        <v>27</v>
      </c>
      <c r="F195" s="11">
        <v>46031</v>
      </c>
      <c r="G195" s="12" t="s">
        <v>279</v>
      </c>
      <c r="H195" s="12" t="s">
        <v>280</v>
      </c>
      <c r="I195" s="40">
        <v>13500</v>
      </c>
      <c r="J195" s="15"/>
      <c r="K195" s="15"/>
      <c r="L195" s="14" t="s">
        <v>281</v>
      </c>
      <c r="M195" s="41" t="s">
        <v>29</v>
      </c>
      <c r="N195" s="16"/>
      <c r="O195" s="15"/>
      <c r="P195" s="17"/>
      <c r="Q195" s="17"/>
      <c r="R195" s="18" t="s">
        <v>277</v>
      </c>
    </row>
    <row r="196" spans="2:18" ht="30" customHeight="1" x14ac:dyDescent="0.45">
      <c r="B196" s="9" t="s">
        <v>1387</v>
      </c>
      <c r="C196" s="9" t="s">
        <v>9</v>
      </c>
      <c r="D196" s="13" t="s">
        <v>30</v>
      </c>
      <c r="E196" s="10" t="s">
        <v>1381</v>
      </c>
      <c r="F196" s="11">
        <v>46031</v>
      </c>
      <c r="G196" s="12" t="s">
        <v>377</v>
      </c>
      <c r="H196" s="12" t="s">
        <v>378</v>
      </c>
      <c r="I196" s="40">
        <v>700</v>
      </c>
      <c r="J196" s="15"/>
      <c r="K196" s="15"/>
      <c r="L196" s="14" t="s">
        <v>379</v>
      </c>
      <c r="M196" s="41" t="s">
        <v>29</v>
      </c>
      <c r="N196" s="16"/>
      <c r="O196" s="15"/>
      <c r="P196" s="17"/>
      <c r="Q196" s="17"/>
      <c r="R196" s="18" t="s">
        <v>41</v>
      </c>
    </row>
    <row r="197" spans="2:18" ht="30" customHeight="1" x14ac:dyDescent="0.45">
      <c r="B197" s="9" t="s">
        <v>1387</v>
      </c>
      <c r="C197" s="9" t="s">
        <v>17</v>
      </c>
      <c r="D197" s="13" t="s">
        <v>35</v>
      </c>
      <c r="E197" s="10" t="s">
        <v>27</v>
      </c>
      <c r="F197" s="11">
        <v>46031</v>
      </c>
      <c r="G197" s="12" t="s">
        <v>668</v>
      </c>
      <c r="H197" s="12" t="s">
        <v>669</v>
      </c>
      <c r="I197" s="39">
        <v>0</v>
      </c>
      <c r="J197" s="15"/>
      <c r="K197" s="15"/>
      <c r="L197" s="14" t="s">
        <v>670</v>
      </c>
      <c r="M197" s="41" t="s">
        <v>29</v>
      </c>
      <c r="N197" s="16"/>
      <c r="O197" s="15"/>
      <c r="P197" s="17"/>
      <c r="Q197" s="17"/>
      <c r="R197" s="18" t="s">
        <v>41</v>
      </c>
    </row>
    <row r="198" spans="2:18" ht="30" customHeight="1" x14ac:dyDescent="0.45">
      <c r="B198" s="9" t="s">
        <v>1387</v>
      </c>
      <c r="C198" s="9" t="s">
        <v>14</v>
      </c>
      <c r="D198" s="13" t="s">
        <v>35</v>
      </c>
      <c r="E198" s="10" t="s">
        <v>27</v>
      </c>
      <c r="F198" s="11">
        <v>46030</v>
      </c>
      <c r="G198" s="12" t="s">
        <v>47</v>
      </c>
      <c r="H198" s="12" t="s">
        <v>48</v>
      </c>
      <c r="I198" s="40">
        <v>111</v>
      </c>
      <c r="J198" s="15"/>
      <c r="K198" s="15"/>
      <c r="L198" s="14" t="s">
        <v>50</v>
      </c>
      <c r="M198" s="41" t="s">
        <v>29</v>
      </c>
      <c r="N198" s="16"/>
      <c r="O198" s="15"/>
      <c r="P198" s="17" t="str">
        <f>IF(R198="Public","x","")</f>
        <v/>
      </c>
      <c r="Q198" s="17"/>
      <c r="R198" s="18" t="s">
        <v>49</v>
      </c>
    </row>
    <row r="199" spans="2:18" ht="30" customHeight="1" x14ac:dyDescent="0.45">
      <c r="B199" s="9" t="s">
        <v>1387</v>
      </c>
      <c r="C199" s="9" t="s">
        <v>16</v>
      </c>
      <c r="D199" s="13" t="s">
        <v>30</v>
      </c>
      <c r="E199" s="10" t="s">
        <v>27</v>
      </c>
      <c r="F199" s="11">
        <v>46030</v>
      </c>
      <c r="G199" s="12" t="s">
        <v>374</v>
      </c>
      <c r="H199" s="12" t="s">
        <v>375</v>
      </c>
      <c r="I199" s="39">
        <v>0</v>
      </c>
      <c r="J199" s="15"/>
      <c r="K199" s="15"/>
      <c r="L199" s="14" t="s">
        <v>376</v>
      </c>
      <c r="M199" s="41" t="s">
        <v>29</v>
      </c>
      <c r="N199" s="16"/>
      <c r="O199" s="15"/>
      <c r="P199" s="17"/>
      <c r="Q199" s="17"/>
      <c r="R199" s="18" t="s">
        <v>41</v>
      </c>
    </row>
    <row r="200" spans="2:18" ht="30" customHeight="1" x14ac:dyDescent="0.45">
      <c r="B200" s="9" t="s">
        <v>1387</v>
      </c>
      <c r="C200" s="9" t="s">
        <v>17</v>
      </c>
      <c r="D200" s="13" t="s">
        <v>30</v>
      </c>
      <c r="E200" s="10" t="s">
        <v>1381</v>
      </c>
      <c r="F200" s="11">
        <v>46030</v>
      </c>
      <c r="G200" s="12" t="s">
        <v>390</v>
      </c>
      <c r="H200" s="12" t="s">
        <v>391</v>
      </c>
      <c r="I200" s="39">
        <v>0</v>
      </c>
      <c r="J200" s="15"/>
      <c r="K200" s="15"/>
      <c r="L200" s="14" t="s">
        <v>392</v>
      </c>
      <c r="M200" s="41" t="s">
        <v>29</v>
      </c>
      <c r="N200" s="16"/>
      <c r="O200" s="15"/>
      <c r="P200" s="17"/>
      <c r="Q200" s="17"/>
      <c r="R200" s="18" t="s">
        <v>31</v>
      </c>
    </row>
    <row r="201" spans="2:18" ht="30" customHeight="1" x14ac:dyDescent="0.45">
      <c r="B201" s="9" t="s">
        <v>1387</v>
      </c>
      <c r="C201" s="9" t="s">
        <v>12</v>
      </c>
      <c r="D201" s="13" t="s">
        <v>30</v>
      </c>
      <c r="E201" s="10" t="s">
        <v>27</v>
      </c>
      <c r="F201" s="11">
        <v>46029</v>
      </c>
      <c r="G201" s="12" t="s">
        <v>62</v>
      </c>
      <c r="H201" s="12" t="s">
        <v>37</v>
      </c>
      <c r="I201" s="40">
        <v>130</v>
      </c>
      <c r="J201" s="15"/>
      <c r="K201" s="15"/>
      <c r="L201" s="14" t="s">
        <v>63</v>
      </c>
      <c r="M201" s="41" t="s">
        <v>29</v>
      </c>
      <c r="N201" s="16"/>
      <c r="O201" s="15"/>
      <c r="P201" s="17" t="str">
        <f>IF(R201="Public","x","")</f>
        <v/>
      </c>
      <c r="Q201" s="17"/>
      <c r="R201" s="18" t="s">
        <v>31</v>
      </c>
    </row>
    <row r="202" spans="2:18" ht="30" customHeight="1" x14ac:dyDescent="0.45">
      <c r="B202" s="9" t="s">
        <v>1387</v>
      </c>
      <c r="C202" s="9" t="s">
        <v>15</v>
      </c>
      <c r="D202" s="13" t="s">
        <v>52</v>
      </c>
      <c r="E202" s="10" t="s">
        <v>27</v>
      </c>
      <c r="F202" s="11">
        <v>46029</v>
      </c>
      <c r="G202" s="12" t="s">
        <v>51</v>
      </c>
      <c r="H202" s="12" t="s">
        <v>39</v>
      </c>
      <c r="I202" s="40">
        <v>38</v>
      </c>
      <c r="J202" s="15"/>
      <c r="K202" s="15"/>
      <c r="L202" s="14" t="s">
        <v>53</v>
      </c>
      <c r="M202" s="41" t="s">
        <v>29</v>
      </c>
      <c r="N202" s="16"/>
      <c r="O202" s="15"/>
      <c r="P202" s="17" t="str">
        <f>IF(R202="Public","x","")</f>
        <v/>
      </c>
      <c r="Q202" s="17"/>
      <c r="R202" s="18" t="s">
        <v>54</v>
      </c>
    </row>
    <row r="203" spans="2:18" ht="30" customHeight="1" x14ac:dyDescent="0.45">
      <c r="B203" s="9" t="s">
        <v>1387</v>
      </c>
      <c r="C203" s="9" t="s">
        <v>12</v>
      </c>
      <c r="D203" s="13" t="s">
        <v>30</v>
      </c>
      <c r="E203" s="10" t="s">
        <v>27</v>
      </c>
      <c r="F203" s="11">
        <v>46029</v>
      </c>
      <c r="G203" s="12" t="s">
        <v>69</v>
      </c>
      <c r="H203" s="12" t="s">
        <v>70</v>
      </c>
      <c r="I203" s="39">
        <v>0</v>
      </c>
      <c r="J203" s="15"/>
      <c r="K203" s="15"/>
      <c r="L203" s="14" t="s">
        <v>71</v>
      </c>
      <c r="M203" s="41" t="s">
        <v>29</v>
      </c>
      <c r="N203" s="16"/>
      <c r="O203" s="15"/>
      <c r="P203" s="17"/>
      <c r="Q203" s="17"/>
      <c r="R203" s="18" t="s">
        <v>72</v>
      </c>
    </row>
    <row r="204" spans="2:18" ht="30" customHeight="1" x14ac:dyDescent="0.45">
      <c r="B204" s="9" t="s">
        <v>1387</v>
      </c>
      <c r="C204" s="9" t="s">
        <v>9</v>
      </c>
      <c r="D204" s="13" t="s">
        <v>30</v>
      </c>
      <c r="E204" s="10" t="s">
        <v>1381</v>
      </c>
      <c r="F204" s="11">
        <v>46029</v>
      </c>
      <c r="G204" s="12" t="s">
        <v>383</v>
      </c>
      <c r="H204" s="12" t="s">
        <v>384</v>
      </c>
      <c r="I204" s="39">
        <v>0</v>
      </c>
      <c r="J204" s="15"/>
      <c r="K204" s="15"/>
      <c r="L204" s="14" t="s">
        <v>385</v>
      </c>
      <c r="M204" s="41" t="s">
        <v>29</v>
      </c>
      <c r="N204" s="16"/>
      <c r="O204" s="15"/>
      <c r="P204" s="17"/>
      <c r="Q204" s="17"/>
      <c r="R204" s="18" t="s">
        <v>386</v>
      </c>
    </row>
    <row r="205" spans="2:18" ht="30" customHeight="1" x14ac:dyDescent="0.45">
      <c r="B205" s="9" t="s">
        <v>1387</v>
      </c>
      <c r="C205" s="9" t="s">
        <v>12</v>
      </c>
      <c r="D205" s="13" t="s">
        <v>30</v>
      </c>
      <c r="E205" s="10" t="s">
        <v>1381</v>
      </c>
      <c r="F205" s="11">
        <v>46028</v>
      </c>
      <c r="G205" s="12" t="s">
        <v>64</v>
      </c>
      <c r="H205" s="12" t="s">
        <v>188</v>
      </c>
      <c r="I205" s="40">
        <v>6400</v>
      </c>
      <c r="J205" s="15">
        <v>10.199999999999999</v>
      </c>
      <c r="K205" s="15"/>
      <c r="L205" s="14" t="s">
        <v>65</v>
      </c>
      <c r="M205" s="41" t="s">
        <v>29</v>
      </c>
      <c r="N205" s="16" t="s">
        <v>33</v>
      </c>
      <c r="O205" s="15" t="s">
        <v>34</v>
      </c>
      <c r="P205" s="17" t="str">
        <f>IF(R205="Public","x","")</f>
        <v>x</v>
      </c>
      <c r="Q205" s="17"/>
      <c r="R205" s="18" t="s">
        <v>32</v>
      </c>
    </row>
    <row r="206" spans="2:18" ht="30" customHeight="1" x14ac:dyDescent="0.45">
      <c r="B206" s="9" t="s">
        <v>1387</v>
      </c>
      <c r="C206" s="9" t="s">
        <v>12</v>
      </c>
      <c r="D206" s="13" t="s">
        <v>38</v>
      </c>
      <c r="E206" s="10" t="s">
        <v>27</v>
      </c>
      <c r="F206" s="11">
        <v>46028</v>
      </c>
      <c r="G206" s="12" t="s">
        <v>66</v>
      </c>
      <c r="H206" s="12" t="s">
        <v>67</v>
      </c>
      <c r="I206" s="39">
        <v>0</v>
      </c>
      <c r="J206" s="15"/>
      <c r="K206" s="15"/>
      <c r="L206" s="14" t="s">
        <v>68</v>
      </c>
      <c r="M206" s="41" t="s">
        <v>29</v>
      </c>
      <c r="N206" s="16"/>
      <c r="O206" s="15"/>
      <c r="P206" s="17" t="str">
        <f>IF(R206="Public","x","")</f>
        <v/>
      </c>
      <c r="Q206" s="17"/>
      <c r="R206" s="18" t="s">
        <v>41</v>
      </c>
    </row>
    <row r="207" spans="2:18" ht="30" customHeight="1" x14ac:dyDescent="0.45">
      <c r="B207" s="9" t="s">
        <v>1387</v>
      </c>
      <c r="C207" s="9" t="s">
        <v>10</v>
      </c>
      <c r="D207" s="13" t="s">
        <v>30</v>
      </c>
      <c r="E207" s="10" t="s">
        <v>27</v>
      </c>
      <c r="F207" s="11">
        <v>46028</v>
      </c>
      <c r="G207" s="12" t="s">
        <v>75</v>
      </c>
      <c r="H207" s="12" t="s">
        <v>76</v>
      </c>
      <c r="I207" s="39">
        <v>0</v>
      </c>
      <c r="J207" s="15"/>
      <c r="K207" s="15"/>
      <c r="L207" s="14" t="s">
        <v>77</v>
      </c>
      <c r="M207" s="41" t="s">
        <v>29</v>
      </c>
      <c r="N207" s="16"/>
      <c r="O207" s="15"/>
      <c r="P207" s="17" t="str">
        <f>IF(R207="Public","x","")</f>
        <v/>
      </c>
      <c r="Q207" s="17"/>
      <c r="R207" s="18" t="s">
        <v>41</v>
      </c>
    </row>
    <row r="208" spans="2:18" ht="30" customHeight="1" x14ac:dyDescent="0.45">
      <c r="B208" s="9" t="s">
        <v>1387</v>
      </c>
      <c r="C208" s="9" t="s">
        <v>9</v>
      </c>
      <c r="D208" s="13" t="s">
        <v>30</v>
      </c>
      <c r="E208" s="10" t="s">
        <v>27</v>
      </c>
      <c r="F208" s="11">
        <v>46028</v>
      </c>
      <c r="G208" s="12" t="s">
        <v>177</v>
      </c>
      <c r="H208" s="12" t="s">
        <v>178</v>
      </c>
      <c r="I208" s="39">
        <v>0</v>
      </c>
      <c r="J208" s="15"/>
      <c r="K208" s="15"/>
      <c r="L208" s="14" t="s">
        <v>179</v>
      </c>
      <c r="M208" s="41" t="s">
        <v>29</v>
      </c>
      <c r="N208" s="16"/>
      <c r="O208" s="15"/>
      <c r="P208" s="17" t="str">
        <f>IF(R208="Public","x","")</f>
        <v/>
      </c>
      <c r="Q208" s="17"/>
      <c r="R208" s="18" t="s">
        <v>41</v>
      </c>
    </row>
    <row r="209" spans="1:18" ht="30" customHeight="1" x14ac:dyDescent="0.45">
      <c r="B209" s="9" t="s">
        <v>1387</v>
      </c>
      <c r="C209" s="9" t="s">
        <v>19</v>
      </c>
      <c r="D209" s="13" t="s">
        <v>30</v>
      </c>
      <c r="E209" s="10" t="s">
        <v>27</v>
      </c>
      <c r="F209" s="11">
        <v>46028</v>
      </c>
      <c r="G209" s="12" t="s">
        <v>633</v>
      </c>
      <c r="H209" s="12" t="s">
        <v>634</v>
      </c>
      <c r="I209" s="39">
        <v>0</v>
      </c>
      <c r="J209" s="15"/>
      <c r="K209" s="15"/>
      <c r="L209" s="14" t="s">
        <v>635</v>
      </c>
      <c r="M209" s="41" t="s">
        <v>29</v>
      </c>
      <c r="N209" s="16"/>
      <c r="O209" s="15"/>
      <c r="P209" s="17"/>
      <c r="Q209" s="17"/>
      <c r="R209" s="18" t="s">
        <v>41</v>
      </c>
    </row>
    <row r="210" spans="1:18" ht="30" customHeight="1" x14ac:dyDescent="0.45">
      <c r="B210" s="9" t="s">
        <v>1387</v>
      </c>
      <c r="C210" s="9" t="s">
        <v>15</v>
      </c>
      <c r="D210" s="13" t="s">
        <v>57</v>
      </c>
      <c r="E210" s="10" t="s">
        <v>27</v>
      </c>
      <c r="F210" s="11">
        <v>46027</v>
      </c>
      <c r="G210" s="12" t="s">
        <v>55</v>
      </c>
      <c r="H210" s="12" t="s">
        <v>56</v>
      </c>
      <c r="I210" s="39">
        <v>0</v>
      </c>
      <c r="J210" s="15"/>
      <c r="K210" s="15"/>
      <c r="L210" s="14" t="s">
        <v>58</v>
      </c>
      <c r="M210" s="41" t="s">
        <v>29</v>
      </c>
      <c r="N210" s="16"/>
      <c r="O210" s="15"/>
      <c r="P210" s="17" t="str">
        <f>IF(R210="Public","x","")</f>
        <v/>
      </c>
      <c r="Q210" s="17"/>
      <c r="R210" s="18" t="s">
        <v>31</v>
      </c>
    </row>
    <row r="211" spans="1:18" ht="30" customHeight="1" x14ac:dyDescent="0.45">
      <c r="B211" s="9" t="s">
        <v>1387</v>
      </c>
      <c r="C211" s="9" t="s">
        <v>15</v>
      </c>
      <c r="D211" s="13" t="s">
        <v>110</v>
      </c>
      <c r="E211" s="10" t="s">
        <v>1381</v>
      </c>
      <c r="F211" s="11">
        <v>46027</v>
      </c>
      <c r="G211" s="12" t="s">
        <v>201</v>
      </c>
      <c r="H211" s="12" t="s">
        <v>202</v>
      </c>
      <c r="I211" s="39">
        <v>0</v>
      </c>
      <c r="J211" s="15"/>
      <c r="K211" s="15"/>
      <c r="L211" s="14" t="s">
        <v>203</v>
      </c>
      <c r="M211" s="41" t="s">
        <v>29</v>
      </c>
      <c r="N211" s="16"/>
      <c r="O211" s="15"/>
      <c r="P211" s="17" t="str">
        <f>IF(R211="Public","x","")</f>
        <v/>
      </c>
      <c r="Q211" s="17"/>
      <c r="R211" s="18" t="s">
        <v>41</v>
      </c>
    </row>
    <row r="212" spans="1:18" ht="30" customHeight="1" x14ac:dyDescent="0.45">
      <c r="B212" s="9" t="s">
        <v>1387</v>
      </c>
      <c r="C212" s="9" t="s">
        <v>9</v>
      </c>
      <c r="D212" s="13" t="s">
        <v>30</v>
      </c>
      <c r="E212" s="10" t="s">
        <v>27</v>
      </c>
      <c r="F212" s="11">
        <v>46024</v>
      </c>
      <c r="G212" s="12" t="s">
        <v>380</v>
      </c>
      <c r="H212" s="12" t="s">
        <v>381</v>
      </c>
      <c r="I212" s="39">
        <v>0</v>
      </c>
      <c r="J212" s="15"/>
      <c r="K212" s="15"/>
      <c r="L212" s="14" t="s">
        <v>382</v>
      </c>
      <c r="M212" s="41" t="s">
        <v>29</v>
      </c>
      <c r="N212" s="16"/>
      <c r="O212" s="15"/>
      <c r="P212" s="17"/>
      <c r="Q212" s="17"/>
      <c r="R212" s="18" t="s">
        <v>41</v>
      </c>
    </row>
    <row r="213" spans="1:18" ht="30" customHeight="1" x14ac:dyDescent="0.45">
      <c r="B213" s="9" t="s">
        <v>1387</v>
      </c>
      <c r="C213" s="9" t="s">
        <v>14</v>
      </c>
      <c r="D213" s="13" t="s">
        <v>30</v>
      </c>
      <c r="E213" s="10" t="s">
        <v>27</v>
      </c>
      <c r="F213" s="11">
        <v>46020</v>
      </c>
      <c r="G213" s="12" t="s">
        <v>44</v>
      </c>
      <c r="H213" s="12" t="s">
        <v>45</v>
      </c>
      <c r="I213" s="39">
        <v>0</v>
      </c>
      <c r="J213" s="15"/>
      <c r="K213" s="15"/>
      <c r="L213" s="14" t="s">
        <v>46</v>
      </c>
      <c r="M213" s="41" t="s">
        <v>29</v>
      </c>
      <c r="N213" s="16"/>
      <c r="O213" s="15"/>
      <c r="P213" s="17" t="str">
        <f>IF(R213="Public","x","")</f>
        <v/>
      </c>
      <c r="Q213" s="17"/>
      <c r="R213" s="18" t="s">
        <v>31</v>
      </c>
    </row>
    <row r="214" spans="1:18" ht="30" customHeight="1" x14ac:dyDescent="0.45">
      <c r="A214" s="5" t="s">
        <v>677</v>
      </c>
      <c r="B214" s="9" t="s">
        <v>1387</v>
      </c>
      <c r="C214" s="9" t="s">
        <v>14</v>
      </c>
      <c r="D214" s="13" t="s">
        <v>30</v>
      </c>
      <c r="E214" s="10" t="s">
        <v>1381</v>
      </c>
      <c r="F214" s="11">
        <v>46012</v>
      </c>
      <c r="G214" s="12" t="s">
        <v>678</v>
      </c>
      <c r="H214" s="12" t="s">
        <v>679</v>
      </c>
      <c r="I214" s="40">
        <v>8400</v>
      </c>
      <c r="J214" s="15">
        <v>11.5</v>
      </c>
      <c r="K214" s="15">
        <v>34</v>
      </c>
      <c r="L214" s="14" t="s">
        <v>680</v>
      </c>
      <c r="M214" s="41" t="s">
        <v>29</v>
      </c>
      <c r="N214" s="16" t="s">
        <v>33</v>
      </c>
      <c r="O214" s="15"/>
      <c r="P214" s="17"/>
      <c r="Q214" s="17"/>
      <c r="R214" s="18" t="s">
        <v>32</v>
      </c>
    </row>
    <row r="215" spans="1:18" ht="30" customHeight="1" x14ac:dyDescent="0.45">
      <c r="A215" s="5"/>
      <c r="B215" s="9" t="s">
        <v>1387</v>
      </c>
      <c r="C215" s="9" t="s">
        <v>9</v>
      </c>
      <c r="D215" s="13" t="s">
        <v>30</v>
      </c>
      <c r="E215" s="10" t="s">
        <v>27</v>
      </c>
      <c r="F215" s="11">
        <v>46009</v>
      </c>
      <c r="G215" s="12" t="s">
        <v>1330</v>
      </c>
      <c r="H215" s="12" t="s">
        <v>1331</v>
      </c>
      <c r="I215" s="39">
        <v>0</v>
      </c>
      <c r="J215" s="15"/>
      <c r="K215" s="15"/>
      <c r="L215" s="14" t="s">
        <v>1332</v>
      </c>
      <c r="M215" s="41" t="s">
        <v>29</v>
      </c>
      <c r="N215" s="16"/>
      <c r="O215" s="15"/>
      <c r="P215" s="17"/>
      <c r="Q215" s="17"/>
      <c r="R215" s="18" t="s">
        <v>41</v>
      </c>
    </row>
    <row r="216" spans="1:18" ht="30" customHeight="1" x14ac:dyDescent="0.45">
      <c r="A216" s="5"/>
      <c r="B216" s="9" t="s">
        <v>1387</v>
      </c>
      <c r="C216" s="9" t="s">
        <v>16</v>
      </c>
      <c r="D216" s="13" t="s">
        <v>110</v>
      </c>
      <c r="E216" s="10" t="s">
        <v>27</v>
      </c>
      <c r="F216" s="11">
        <v>46008</v>
      </c>
      <c r="G216" s="12" t="s">
        <v>681</v>
      </c>
      <c r="H216" s="12" t="s">
        <v>682</v>
      </c>
      <c r="I216" s="39">
        <v>0</v>
      </c>
      <c r="J216" s="15"/>
      <c r="K216" s="15"/>
      <c r="L216" s="14" t="s">
        <v>683</v>
      </c>
      <c r="M216" s="41" t="s">
        <v>29</v>
      </c>
      <c r="N216" s="16"/>
      <c r="O216" s="15"/>
      <c r="P216" s="17"/>
      <c r="Q216" s="17" t="s">
        <v>18</v>
      </c>
      <c r="R216" s="18" t="s">
        <v>31</v>
      </c>
    </row>
    <row r="217" spans="1:18" ht="30" customHeight="1" x14ac:dyDescent="0.45">
      <c r="A217" s="5"/>
      <c r="B217" s="9" t="s">
        <v>1387</v>
      </c>
      <c r="C217" s="9" t="s">
        <v>12</v>
      </c>
      <c r="D217" s="13" t="s">
        <v>30</v>
      </c>
      <c r="E217" s="10" t="s">
        <v>27</v>
      </c>
      <c r="F217" s="11">
        <v>46008</v>
      </c>
      <c r="G217" s="12" t="s">
        <v>684</v>
      </c>
      <c r="H217" s="12" t="s">
        <v>685</v>
      </c>
      <c r="I217" s="39">
        <v>0</v>
      </c>
      <c r="J217" s="15"/>
      <c r="K217" s="15"/>
      <c r="L217" s="14" t="s">
        <v>686</v>
      </c>
      <c r="M217" s="41" t="s">
        <v>29</v>
      </c>
      <c r="N217" s="16"/>
      <c r="O217" s="15"/>
      <c r="P217" s="17"/>
      <c r="Q217" s="17" t="s">
        <v>18</v>
      </c>
      <c r="R217" s="18" t="s">
        <v>31</v>
      </c>
    </row>
    <row r="218" spans="1:18" ht="30" customHeight="1" x14ac:dyDescent="0.45">
      <c r="A218" s="5"/>
      <c r="B218" s="9" t="s">
        <v>1387</v>
      </c>
      <c r="C218" s="9" t="s">
        <v>19</v>
      </c>
      <c r="D218" s="13" t="s">
        <v>110</v>
      </c>
      <c r="E218" s="10" t="s">
        <v>27</v>
      </c>
      <c r="F218" s="11">
        <v>46007</v>
      </c>
      <c r="G218" s="12" t="s">
        <v>687</v>
      </c>
      <c r="H218" s="12" t="s">
        <v>688</v>
      </c>
      <c r="I218" s="39">
        <v>0</v>
      </c>
      <c r="J218" s="15"/>
      <c r="K218" s="15"/>
      <c r="L218" s="14" t="s">
        <v>689</v>
      </c>
      <c r="M218" s="41" t="s">
        <v>29</v>
      </c>
      <c r="N218" s="16"/>
      <c r="O218" s="15"/>
      <c r="P218" s="17"/>
      <c r="Q218" s="17"/>
      <c r="R218" s="18" t="s">
        <v>31</v>
      </c>
    </row>
    <row r="219" spans="1:18" ht="30" customHeight="1" x14ac:dyDescent="0.45">
      <c r="A219" s="5"/>
      <c r="B219" s="9" t="s">
        <v>1387</v>
      </c>
      <c r="C219" s="9" t="s">
        <v>12</v>
      </c>
      <c r="D219" s="13" t="s">
        <v>38</v>
      </c>
      <c r="E219" s="10" t="s">
        <v>27</v>
      </c>
      <c r="F219" s="11">
        <v>46006</v>
      </c>
      <c r="G219" s="12" t="s">
        <v>690</v>
      </c>
      <c r="H219" s="12" t="s">
        <v>691</v>
      </c>
      <c r="I219" s="39">
        <v>0</v>
      </c>
      <c r="J219" s="15"/>
      <c r="K219" s="15"/>
      <c r="L219" s="14" t="s">
        <v>692</v>
      </c>
      <c r="M219" s="41" t="s">
        <v>29</v>
      </c>
      <c r="N219" s="16"/>
      <c r="O219" s="15"/>
      <c r="P219" s="17"/>
      <c r="Q219" s="17"/>
      <c r="R219" s="18" t="s">
        <v>31</v>
      </c>
    </row>
    <row r="220" spans="1:18" ht="30" customHeight="1" x14ac:dyDescent="0.45">
      <c r="A220" s="5"/>
      <c r="B220" s="9" t="s">
        <v>1387</v>
      </c>
      <c r="C220" s="9" t="s">
        <v>10</v>
      </c>
      <c r="D220" s="13" t="s">
        <v>110</v>
      </c>
      <c r="E220" s="10" t="s">
        <v>27</v>
      </c>
      <c r="F220" s="11">
        <v>46003</v>
      </c>
      <c r="G220" s="12" t="s">
        <v>693</v>
      </c>
      <c r="H220" s="12" t="s">
        <v>694</v>
      </c>
      <c r="I220" s="40">
        <v>1100</v>
      </c>
      <c r="J220" s="15"/>
      <c r="K220" s="15"/>
      <c r="L220" s="14" t="s">
        <v>695</v>
      </c>
      <c r="M220" s="41" t="s">
        <v>29</v>
      </c>
      <c r="N220" s="16"/>
      <c r="O220" s="15"/>
      <c r="P220" s="17"/>
      <c r="Q220" s="17"/>
      <c r="R220" s="18" t="s">
        <v>31</v>
      </c>
    </row>
    <row r="221" spans="1:18" ht="30" customHeight="1" x14ac:dyDescent="0.45">
      <c r="A221" s="5"/>
      <c r="B221" s="9" t="s">
        <v>1387</v>
      </c>
      <c r="C221" s="9" t="s">
        <v>16</v>
      </c>
      <c r="D221" s="13" t="s">
        <v>110</v>
      </c>
      <c r="E221" s="10" t="s">
        <v>27</v>
      </c>
      <c r="F221" s="11">
        <v>46002</v>
      </c>
      <c r="G221" s="12" t="s">
        <v>696</v>
      </c>
      <c r="H221" s="12" t="s">
        <v>697</v>
      </c>
      <c r="I221" s="40">
        <v>80</v>
      </c>
      <c r="J221" s="15"/>
      <c r="K221" s="15"/>
      <c r="L221" s="14" t="s">
        <v>698</v>
      </c>
      <c r="M221" s="41" t="s">
        <v>29</v>
      </c>
      <c r="N221" s="16"/>
      <c r="O221" s="15"/>
      <c r="P221" s="17"/>
      <c r="Q221" s="17"/>
      <c r="R221" s="18" t="s">
        <v>699</v>
      </c>
    </row>
    <row r="222" spans="1:18" ht="30" customHeight="1" x14ac:dyDescent="0.45">
      <c r="A222" s="5"/>
      <c r="B222" s="9" t="s">
        <v>1387</v>
      </c>
      <c r="C222" s="9" t="s">
        <v>19</v>
      </c>
      <c r="D222" s="13" t="s">
        <v>38</v>
      </c>
      <c r="E222" s="10" t="s">
        <v>1381</v>
      </c>
      <c r="F222" s="11">
        <v>45995</v>
      </c>
      <c r="G222" s="12" t="s">
        <v>700</v>
      </c>
      <c r="H222" s="12" t="s">
        <v>394</v>
      </c>
      <c r="I222" s="39">
        <v>0</v>
      </c>
      <c r="J222" s="15"/>
      <c r="K222" s="15"/>
      <c r="L222" s="14" t="s">
        <v>701</v>
      </c>
      <c r="M222" s="41" t="s">
        <v>29</v>
      </c>
      <c r="N222" s="16"/>
      <c r="O222" s="15"/>
      <c r="P222" s="17"/>
      <c r="Q222" s="17"/>
      <c r="R222" s="18" t="s">
        <v>702</v>
      </c>
    </row>
    <row r="223" spans="1:18" ht="30" customHeight="1" x14ac:dyDescent="0.45">
      <c r="A223" s="5"/>
      <c r="B223" s="9" t="s">
        <v>1387</v>
      </c>
      <c r="C223" s="9" t="s">
        <v>15</v>
      </c>
      <c r="D223" s="13" t="s">
        <v>110</v>
      </c>
      <c r="E223" s="10" t="s">
        <v>27</v>
      </c>
      <c r="F223" s="11">
        <v>45993</v>
      </c>
      <c r="G223" s="12" t="s">
        <v>703</v>
      </c>
      <c r="H223" s="12" t="s">
        <v>704</v>
      </c>
      <c r="I223" s="39">
        <v>0</v>
      </c>
      <c r="J223" s="15"/>
      <c r="K223" s="15"/>
      <c r="L223" s="14" t="s">
        <v>705</v>
      </c>
      <c r="M223" s="41" t="s">
        <v>29</v>
      </c>
      <c r="N223" s="16"/>
      <c r="O223" s="15"/>
      <c r="P223" s="17"/>
      <c r="Q223" s="17"/>
      <c r="R223" s="18" t="s">
        <v>31</v>
      </c>
    </row>
    <row r="224" spans="1:18" ht="30" customHeight="1" x14ac:dyDescent="0.45">
      <c r="A224" s="5"/>
      <c r="B224" s="9" t="s">
        <v>1387</v>
      </c>
      <c r="C224" s="9" t="s">
        <v>19</v>
      </c>
      <c r="D224" s="13" t="s">
        <v>38</v>
      </c>
      <c r="E224" s="10" t="s">
        <v>27</v>
      </c>
      <c r="F224" s="11">
        <v>45989</v>
      </c>
      <c r="G224" s="12" t="s">
        <v>706</v>
      </c>
      <c r="H224" s="12" t="s">
        <v>707</v>
      </c>
      <c r="I224" s="39">
        <v>0</v>
      </c>
      <c r="J224" s="15"/>
      <c r="K224" s="15"/>
      <c r="L224" s="14" t="s">
        <v>708</v>
      </c>
      <c r="M224" s="41" t="s">
        <v>29</v>
      </c>
      <c r="N224" s="16"/>
      <c r="O224" s="15"/>
      <c r="P224" s="17"/>
      <c r="Q224" s="17"/>
      <c r="R224" s="18" t="s">
        <v>31</v>
      </c>
    </row>
    <row r="225" spans="2:18" ht="30" customHeight="1" x14ac:dyDescent="0.45">
      <c r="B225" s="9" t="s">
        <v>1387</v>
      </c>
      <c r="C225" s="9" t="s">
        <v>10</v>
      </c>
      <c r="D225" s="13" t="s">
        <v>182</v>
      </c>
      <c r="E225" s="10" t="s">
        <v>27</v>
      </c>
      <c r="F225" s="11">
        <v>45988</v>
      </c>
      <c r="G225" s="12" t="s">
        <v>709</v>
      </c>
      <c r="H225" s="12" t="s">
        <v>710</v>
      </c>
      <c r="I225" s="39">
        <v>0</v>
      </c>
      <c r="J225" s="15"/>
      <c r="K225" s="15"/>
      <c r="L225" s="14" t="s">
        <v>711</v>
      </c>
      <c r="M225" s="41" t="s">
        <v>29</v>
      </c>
      <c r="N225" s="16"/>
      <c r="O225" s="15"/>
      <c r="P225" s="17"/>
      <c r="Q225" s="17"/>
      <c r="R225" s="18" t="s">
        <v>702</v>
      </c>
    </row>
    <row r="226" spans="2:18" ht="30" customHeight="1" x14ac:dyDescent="0.45">
      <c r="B226" s="9" t="s">
        <v>1387</v>
      </c>
      <c r="C226" s="9" t="s">
        <v>12</v>
      </c>
      <c r="D226" s="13" t="s">
        <v>182</v>
      </c>
      <c r="E226" s="10" t="s">
        <v>27</v>
      </c>
      <c r="F226" s="11">
        <v>45987</v>
      </c>
      <c r="G226" s="12" t="s">
        <v>715</v>
      </c>
      <c r="H226" s="12" t="s">
        <v>716</v>
      </c>
      <c r="I226" s="40">
        <v>1550</v>
      </c>
      <c r="J226" s="15"/>
      <c r="K226" s="15"/>
      <c r="L226" s="14" t="s">
        <v>717</v>
      </c>
      <c r="M226" s="41" t="s">
        <v>29</v>
      </c>
      <c r="N226" s="16"/>
      <c r="O226" s="15"/>
      <c r="P226" s="17"/>
      <c r="Q226" s="17"/>
      <c r="R226" s="18" t="s">
        <v>31</v>
      </c>
    </row>
    <row r="227" spans="2:18" ht="30" customHeight="1" x14ac:dyDescent="0.45">
      <c r="B227" s="9" t="s">
        <v>1387</v>
      </c>
      <c r="C227" s="9" t="s">
        <v>19</v>
      </c>
      <c r="D227" s="13" t="s">
        <v>35</v>
      </c>
      <c r="E227" s="10" t="s">
        <v>27</v>
      </c>
      <c r="F227" s="11">
        <v>45987</v>
      </c>
      <c r="G227" s="12" t="s">
        <v>712</v>
      </c>
      <c r="H227" s="12" t="s">
        <v>713</v>
      </c>
      <c r="I227" s="39">
        <v>0</v>
      </c>
      <c r="J227" s="15"/>
      <c r="K227" s="15"/>
      <c r="L227" s="14" t="s">
        <v>714</v>
      </c>
      <c r="M227" s="41" t="s">
        <v>29</v>
      </c>
      <c r="N227" s="16"/>
      <c r="O227" s="15"/>
      <c r="P227" s="17"/>
      <c r="Q227" s="17"/>
      <c r="R227" s="18" t="s">
        <v>702</v>
      </c>
    </row>
    <row r="228" spans="2:18" ht="30" customHeight="1" x14ac:dyDescent="0.45">
      <c r="B228" s="9" t="s">
        <v>1387</v>
      </c>
      <c r="C228" s="9" t="s">
        <v>14</v>
      </c>
      <c r="D228" s="13" t="s">
        <v>110</v>
      </c>
      <c r="E228" s="10" t="s">
        <v>27</v>
      </c>
      <c r="F228" s="11">
        <v>45987</v>
      </c>
      <c r="G228" s="12" t="s">
        <v>718</v>
      </c>
      <c r="H228" s="12" t="s">
        <v>719</v>
      </c>
      <c r="I228" s="39">
        <v>0</v>
      </c>
      <c r="J228" s="15"/>
      <c r="K228" s="15"/>
      <c r="L228" s="14" t="s">
        <v>720</v>
      </c>
      <c r="M228" s="41" t="s">
        <v>29</v>
      </c>
      <c r="N228" s="16"/>
      <c r="O228" s="15"/>
      <c r="P228" s="17"/>
      <c r="Q228" s="17"/>
      <c r="R228" s="18" t="s">
        <v>721</v>
      </c>
    </row>
    <row r="229" spans="2:18" ht="30" customHeight="1" x14ac:dyDescent="0.45">
      <c r="B229" s="9" t="s">
        <v>1387</v>
      </c>
      <c r="C229" s="9" t="s">
        <v>10</v>
      </c>
      <c r="D229" s="13" t="s">
        <v>30</v>
      </c>
      <c r="E229" s="10" t="s">
        <v>27</v>
      </c>
      <c r="F229" s="11">
        <v>45986</v>
      </c>
      <c r="G229" s="12" t="s">
        <v>731</v>
      </c>
      <c r="H229" s="12" t="s">
        <v>732</v>
      </c>
      <c r="I229" s="40">
        <v>175</v>
      </c>
      <c r="J229" s="15"/>
      <c r="K229" s="15"/>
      <c r="L229" s="14" t="s">
        <v>733</v>
      </c>
      <c r="M229" s="41" t="s">
        <v>29</v>
      </c>
      <c r="N229" s="16"/>
      <c r="O229" s="15"/>
      <c r="P229" s="17"/>
      <c r="Q229" s="17"/>
      <c r="R229" s="18" t="s">
        <v>702</v>
      </c>
    </row>
    <row r="230" spans="2:18" ht="30" customHeight="1" x14ac:dyDescent="0.45">
      <c r="B230" s="9" t="s">
        <v>1387</v>
      </c>
      <c r="C230" s="9" t="s">
        <v>15</v>
      </c>
      <c r="D230" s="13" t="s">
        <v>30</v>
      </c>
      <c r="E230" s="10" t="s">
        <v>27</v>
      </c>
      <c r="F230" s="11">
        <v>45986</v>
      </c>
      <c r="G230" s="12" t="s">
        <v>722</v>
      </c>
      <c r="H230" s="12" t="s">
        <v>723</v>
      </c>
      <c r="I230" s="39">
        <v>0</v>
      </c>
      <c r="J230" s="15"/>
      <c r="K230" s="15"/>
      <c r="L230" s="14" t="s">
        <v>724</v>
      </c>
      <c r="M230" s="41" t="s">
        <v>29</v>
      </c>
      <c r="N230" s="16"/>
      <c r="O230" s="15"/>
      <c r="P230" s="17"/>
      <c r="Q230" s="17"/>
      <c r="R230" s="18" t="s">
        <v>725</v>
      </c>
    </row>
    <row r="231" spans="2:18" ht="30" customHeight="1" x14ac:dyDescent="0.45">
      <c r="B231" s="9" t="s">
        <v>1387</v>
      </c>
      <c r="C231" s="9" t="s">
        <v>15</v>
      </c>
      <c r="D231" s="13" t="s">
        <v>30</v>
      </c>
      <c r="E231" s="10" t="s">
        <v>27</v>
      </c>
      <c r="F231" s="11">
        <v>45986</v>
      </c>
      <c r="G231" s="12" t="s">
        <v>726</v>
      </c>
      <c r="H231" s="12" t="s">
        <v>675</v>
      </c>
      <c r="I231" s="39">
        <v>0</v>
      </c>
      <c r="J231" s="15"/>
      <c r="K231" s="15"/>
      <c r="L231" s="14" t="s">
        <v>727</v>
      </c>
      <c r="M231" s="41" t="s">
        <v>29</v>
      </c>
      <c r="N231" s="16"/>
      <c r="O231" s="15"/>
      <c r="P231" s="17"/>
      <c r="Q231" s="17"/>
      <c r="R231" s="18" t="s">
        <v>31</v>
      </c>
    </row>
    <row r="232" spans="2:18" ht="30" customHeight="1" x14ac:dyDescent="0.45">
      <c r="B232" s="9" t="s">
        <v>1387</v>
      </c>
      <c r="C232" s="9" t="s">
        <v>15</v>
      </c>
      <c r="D232" s="13" t="s">
        <v>110</v>
      </c>
      <c r="E232" s="10" t="s">
        <v>27</v>
      </c>
      <c r="F232" s="11">
        <v>45986</v>
      </c>
      <c r="G232" s="12" t="s">
        <v>728</v>
      </c>
      <c r="H232" s="12" t="s">
        <v>729</v>
      </c>
      <c r="I232" s="39">
        <v>0</v>
      </c>
      <c r="J232" s="15"/>
      <c r="K232" s="15"/>
      <c r="L232" s="14" t="s">
        <v>730</v>
      </c>
      <c r="M232" s="41" t="s">
        <v>29</v>
      </c>
      <c r="N232" s="16"/>
      <c r="O232" s="15"/>
      <c r="P232" s="17"/>
      <c r="Q232" s="17"/>
      <c r="R232" s="18" t="s">
        <v>31</v>
      </c>
    </row>
    <row r="233" spans="2:18" ht="30" customHeight="1" x14ac:dyDescent="0.45">
      <c r="B233" s="9" t="s">
        <v>1387</v>
      </c>
      <c r="C233" s="9" t="s">
        <v>15</v>
      </c>
      <c r="D233" s="13" t="s">
        <v>30</v>
      </c>
      <c r="E233" s="10" t="s">
        <v>27</v>
      </c>
      <c r="F233" s="11">
        <v>45985</v>
      </c>
      <c r="G233" s="12" t="s">
        <v>734</v>
      </c>
      <c r="H233" s="12" t="s">
        <v>735</v>
      </c>
      <c r="I233" s="40">
        <v>1100</v>
      </c>
      <c r="J233" s="15"/>
      <c r="K233" s="15"/>
      <c r="L233" s="14" t="s">
        <v>736</v>
      </c>
      <c r="M233" s="41" t="s">
        <v>29</v>
      </c>
      <c r="N233" s="16"/>
      <c r="O233" s="15"/>
      <c r="P233" s="17"/>
      <c r="Q233" s="17"/>
      <c r="R233" s="18" t="s">
        <v>702</v>
      </c>
    </row>
    <row r="234" spans="2:18" ht="30" customHeight="1" x14ac:dyDescent="0.45">
      <c r="B234" s="9" t="s">
        <v>1387</v>
      </c>
      <c r="C234" s="9" t="s">
        <v>9</v>
      </c>
      <c r="D234" s="13" t="s">
        <v>30</v>
      </c>
      <c r="E234" s="10" t="s">
        <v>27</v>
      </c>
      <c r="F234" s="11">
        <v>45982</v>
      </c>
      <c r="G234" s="12" t="s">
        <v>737</v>
      </c>
      <c r="H234" s="12" t="s">
        <v>738</v>
      </c>
      <c r="I234" s="39">
        <v>0</v>
      </c>
      <c r="J234" s="15"/>
      <c r="K234" s="15"/>
      <c r="L234" s="14" t="s">
        <v>739</v>
      </c>
      <c r="M234" s="41" t="s">
        <v>29</v>
      </c>
      <c r="N234" s="16"/>
      <c r="O234" s="15"/>
      <c r="P234" s="17"/>
      <c r="Q234" s="17"/>
      <c r="R234" s="18" t="s">
        <v>740</v>
      </c>
    </row>
    <row r="235" spans="2:18" ht="30" customHeight="1" x14ac:dyDescent="0.45">
      <c r="B235" s="9" t="s">
        <v>1387</v>
      </c>
      <c r="C235" s="9" t="s">
        <v>10</v>
      </c>
      <c r="D235" s="13" t="s">
        <v>35</v>
      </c>
      <c r="E235" s="10" t="s">
        <v>27</v>
      </c>
      <c r="F235" s="11">
        <v>45981</v>
      </c>
      <c r="G235" s="12" t="s">
        <v>745</v>
      </c>
      <c r="H235" s="12" t="s">
        <v>746</v>
      </c>
      <c r="I235" s="40">
        <v>70</v>
      </c>
      <c r="J235" s="15"/>
      <c r="K235" s="15"/>
      <c r="L235" s="14" t="s">
        <v>747</v>
      </c>
      <c r="M235" s="41" t="s">
        <v>29</v>
      </c>
      <c r="N235" s="16"/>
      <c r="O235" s="15"/>
      <c r="P235" s="17"/>
      <c r="Q235" s="17"/>
      <c r="R235" s="18" t="s">
        <v>31</v>
      </c>
    </row>
    <row r="236" spans="2:18" ht="30" customHeight="1" x14ac:dyDescent="0.45">
      <c r="B236" s="9" t="s">
        <v>1387</v>
      </c>
      <c r="C236" s="9" t="s">
        <v>19</v>
      </c>
      <c r="D236" s="13" t="s">
        <v>110</v>
      </c>
      <c r="E236" s="10" t="s">
        <v>27</v>
      </c>
      <c r="F236" s="11">
        <v>45981</v>
      </c>
      <c r="G236" s="12" t="s">
        <v>741</v>
      </c>
      <c r="H236" s="12" t="s">
        <v>742</v>
      </c>
      <c r="I236" s="39">
        <v>0</v>
      </c>
      <c r="J236" s="15"/>
      <c r="K236" s="15"/>
      <c r="L236" s="14" t="s">
        <v>743</v>
      </c>
      <c r="M236" s="41" t="s">
        <v>29</v>
      </c>
      <c r="N236" s="16"/>
      <c r="O236" s="15"/>
      <c r="P236" s="17"/>
      <c r="Q236" s="17"/>
      <c r="R236" s="18" t="s">
        <v>744</v>
      </c>
    </row>
    <row r="237" spans="2:18" ht="30" customHeight="1" x14ac:dyDescent="0.45">
      <c r="B237" s="9" t="s">
        <v>1387</v>
      </c>
      <c r="C237" s="9" t="s">
        <v>15</v>
      </c>
      <c r="D237" s="13" t="s">
        <v>110</v>
      </c>
      <c r="E237" s="10" t="s">
        <v>27</v>
      </c>
      <c r="F237" s="11">
        <v>45980</v>
      </c>
      <c r="G237" s="12" t="s">
        <v>751</v>
      </c>
      <c r="H237" s="12" t="s">
        <v>752</v>
      </c>
      <c r="I237" s="40">
        <v>158</v>
      </c>
      <c r="J237" s="15"/>
      <c r="K237" s="15"/>
      <c r="L237" s="14" t="s">
        <v>753</v>
      </c>
      <c r="M237" s="41" t="s">
        <v>29</v>
      </c>
      <c r="N237" s="16"/>
      <c r="O237" s="15"/>
      <c r="P237" s="17"/>
      <c r="Q237" s="17"/>
      <c r="R237" s="18" t="s">
        <v>31</v>
      </c>
    </row>
    <row r="238" spans="2:18" ht="30" customHeight="1" x14ac:dyDescent="0.45">
      <c r="B238" s="9" t="s">
        <v>1387</v>
      </c>
      <c r="C238" s="9" t="s">
        <v>17</v>
      </c>
      <c r="D238" s="13" t="s">
        <v>30</v>
      </c>
      <c r="E238" s="10" t="s">
        <v>27</v>
      </c>
      <c r="F238" s="11">
        <v>45980</v>
      </c>
      <c r="G238" s="12" t="s">
        <v>748</v>
      </c>
      <c r="H238" s="12" t="s">
        <v>749</v>
      </c>
      <c r="I238" s="39">
        <v>0</v>
      </c>
      <c r="J238" s="15"/>
      <c r="K238" s="15"/>
      <c r="L238" s="14" t="s">
        <v>750</v>
      </c>
      <c r="M238" s="41" t="s">
        <v>29</v>
      </c>
      <c r="N238" s="16"/>
      <c r="O238" s="15"/>
      <c r="P238" s="17"/>
      <c r="Q238" s="17"/>
      <c r="R238" s="18" t="s">
        <v>31</v>
      </c>
    </row>
    <row r="239" spans="2:18" ht="30" customHeight="1" x14ac:dyDescent="0.45">
      <c r="B239" s="9" t="s">
        <v>1387</v>
      </c>
      <c r="C239" s="9" t="s">
        <v>15</v>
      </c>
      <c r="D239" s="13" t="s">
        <v>30</v>
      </c>
      <c r="E239" s="10" t="s">
        <v>27</v>
      </c>
      <c r="F239" s="11">
        <v>45980</v>
      </c>
      <c r="G239" s="12" t="s">
        <v>754</v>
      </c>
      <c r="H239" s="12" t="s">
        <v>755</v>
      </c>
      <c r="I239" s="39">
        <v>0</v>
      </c>
      <c r="J239" s="15"/>
      <c r="K239" s="15"/>
      <c r="L239" s="14" t="s">
        <v>756</v>
      </c>
      <c r="M239" s="41" t="s">
        <v>29</v>
      </c>
      <c r="N239" s="16"/>
      <c r="O239" s="15"/>
      <c r="P239" s="17"/>
      <c r="Q239" s="17"/>
      <c r="R239" s="18" t="s">
        <v>31</v>
      </c>
    </row>
    <row r="240" spans="2:18" ht="30" customHeight="1" x14ac:dyDescent="0.45">
      <c r="B240" s="9" t="s">
        <v>1387</v>
      </c>
      <c r="C240" s="9" t="s">
        <v>17</v>
      </c>
      <c r="D240" s="13" t="s">
        <v>30</v>
      </c>
      <c r="E240" s="10" t="s">
        <v>27</v>
      </c>
      <c r="F240" s="11">
        <v>45978</v>
      </c>
      <c r="G240" s="12" t="s">
        <v>757</v>
      </c>
      <c r="H240" s="12" t="s">
        <v>758</v>
      </c>
      <c r="I240" s="39">
        <v>0</v>
      </c>
      <c r="J240" s="15"/>
      <c r="K240" s="15"/>
      <c r="L240" s="14" t="s">
        <v>759</v>
      </c>
      <c r="M240" s="41" t="s">
        <v>29</v>
      </c>
      <c r="N240" s="16"/>
      <c r="O240" s="15"/>
      <c r="P240" s="17"/>
      <c r="Q240" s="17"/>
      <c r="R240" s="18" t="s">
        <v>760</v>
      </c>
    </row>
    <row r="241" spans="2:18" ht="30" customHeight="1" x14ac:dyDescent="0.45">
      <c r="B241" s="9" t="s">
        <v>1387</v>
      </c>
      <c r="C241" s="9" t="s">
        <v>10</v>
      </c>
      <c r="D241" s="13" t="s">
        <v>30</v>
      </c>
      <c r="E241" s="10" t="s">
        <v>27</v>
      </c>
      <c r="F241" s="11">
        <v>45973</v>
      </c>
      <c r="G241" s="12" t="s">
        <v>761</v>
      </c>
      <c r="H241" s="12" t="s">
        <v>116</v>
      </c>
      <c r="I241" s="39">
        <v>0</v>
      </c>
      <c r="J241" s="15"/>
      <c r="K241" s="15"/>
      <c r="L241" s="14" t="s">
        <v>762</v>
      </c>
      <c r="M241" s="41" t="s">
        <v>29</v>
      </c>
      <c r="N241" s="16"/>
      <c r="O241" s="15"/>
      <c r="P241" s="17"/>
      <c r="Q241" s="17"/>
      <c r="R241" s="18" t="s">
        <v>702</v>
      </c>
    </row>
    <row r="242" spans="2:18" ht="30" customHeight="1" x14ac:dyDescent="0.45">
      <c r="B242" s="9" t="s">
        <v>1387</v>
      </c>
      <c r="C242" s="9" t="s">
        <v>10</v>
      </c>
      <c r="D242" s="13" t="s">
        <v>765</v>
      </c>
      <c r="E242" s="10" t="s">
        <v>27</v>
      </c>
      <c r="F242" s="11">
        <v>45972</v>
      </c>
      <c r="G242" s="12" t="s">
        <v>763</v>
      </c>
      <c r="H242" s="12" t="s">
        <v>764</v>
      </c>
      <c r="I242" s="39">
        <v>0</v>
      </c>
      <c r="J242" s="15"/>
      <c r="K242" s="15"/>
      <c r="L242" s="14" t="s">
        <v>766</v>
      </c>
      <c r="M242" s="41" t="s">
        <v>29</v>
      </c>
      <c r="N242" s="16"/>
      <c r="O242" s="15"/>
      <c r="P242" s="17"/>
      <c r="Q242" s="17"/>
      <c r="R242" s="18" t="s">
        <v>767</v>
      </c>
    </row>
    <row r="243" spans="2:18" ht="30" customHeight="1" x14ac:dyDescent="0.45">
      <c r="B243" s="9" t="s">
        <v>1387</v>
      </c>
      <c r="C243" s="9" t="s">
        <v>19</v>
      </c>
      <c r="D243" s="13" t="s">
        <v>770</v>
      </c>
      <c r="E243" s="10" t="s">
        <v>27</v>
      </c>
      <c r="F243" s="11">
        <v>45972</v>
      </c>
      <c r="G243" s="12" t="s">
        <v>768</v>
      </c>
      <c r="H243" s="12" t="s">
        <v>769</v>
      </c>
      <c r="I243" s="39">
        <v>0</v>
      </c>
      <c r="J243" s="15"/>
      <c r="K243" s="15"/>
      <c r="L243" s="14" t="s">
        <v>771</v>
      </c>
      <c r="M243" s="41" t="s">
        <v>29</v>
      </c>
      <c r="N243" s="16"/>
      <c r="O243" s="15"/>
      <c r="P243" s="17"/>
      <c r="Q243" s="17"/>
      <c r="R243" s="18" t="s">
        <v>702</v>
      </c>
    </row>
    <row r="244" spans="2:18" ht="30" customHeight="1" x14ac:dyDescent="0.45">
      <c r="B244" s="9" t="s">
        <v>1387</v>
      </c>
      <c r="C244" s="9" t="s">
        <v>14</v>
      </c>
      <c r="D244" s="13" t="s">
        <v>110</v>
      </c>
      <c r="E244" s="10" t="s">
        <v>1381</v>
      </c>
      <c r="F244" s="11">
        <v>45971</v>
      </c>
      <c r="G244" s="12" t="s">
        <v>784</v>
      </c>
      <c r="H244" s="12" t="s">
        <v>785</v>
      </c>
      <c r="I244" s="40">
        <v>3000</v>
      </c>
      <c r="J244" s="15"/>
      <c r="K244" s="15"/>
      <c r="L244" s="14" t="s">
        <v>786</v>
      </c>
      <c r="M244" s="41" t="s">
        <v>29</v>
      </c>
      <c r="N244" s="16"/>
      <c r="O244" s="15"/>
      <c r="P244" s="17"/>
      <c r="Q244" s="17"/>
      <c r="R244" s="18" t="s">
        <v>32</v>
      </c>
    </row>
    <row r="245" spans="2:18" ht="30" customHeight="1" x14ac:dyDescent="0.45">
      <c r="B245" s="9" t="s">
        <v>1387</v>
      </c>
      <c r="C245" s="9" t="s">
        <v>12</v>
      </c>
      <c r="D245" s="13" t="s">
        <v>782</v>
      </c>
      <c r="E245" s="10" t="s">
        <v>1381</v>
      </c>
      <c r="F245" s="11">
        <v>45971</v>
      </c>
      <c r="G245" s="12" t="s">
        <v>781</v>
      </c>
      <c r="H245" s="12" t="s">
        <v>188</v>
      </c>
      <c r="I245" s="40">
        <v>25</v>
      </c>
      <c r="J245" s="15"/>
      <c r="K245" s="15"/>
      <c r="L245" s="14" t="s">
        <v>783</v>
      </c>
      <c r="M245" s="41" t="s">
        <v>29</v>
      </c>
      <c r="N245" s="16"/>
      <c r="O245" s="15"/>
      <c r="P245" s="17"/>
      <c r="Q245" s="17"/>
      <c r="R245" s="18" t="s">
        <v>702</v>
      </c>
    </row>
    <row r="246" spans="2:18" ht="30" customHeight="1" x14ac:dyDescent="0.45">
      <c r="B246" s="9" t="s">
        <v>1387</v>
      </c>
      <c r="C246" s="9" t="s">
        <v>19</v>
      </c>
      <c r="D246" s="13" t="s">
        <v>30</v>
      </c>
      <c r="E246" s="10" t="s">
        <v>27</v>
      </c>
      <c r="F246" s="11">
        <v>45971</v>
      </c>
      <c r="G246" s="12" t="s">
        <v>772</v>
      </c>
      <c r="H246" s="12" t="s">
        <v>773</v>
      </c>
      <c r="I246" s="39">
        <v>0</v>
      </c>
      <c r="J246" s="15"/>
      <c r="K246" s="15"/>
      <c r="L246" s="14" t="s">
        <v>774</v>
      </c>
      <c r="M246" s="41" t="s">
        <v>29</v>
      </c>
      <c r="N246" s="16"/>
      <c r="O246" s="15"/>
      <c r="P246" s="17"/>
      <c r="Q246" s="17"/>
      <c r="R246" s="18" t="s">
        <v>702</v>
      </c>
    </row>
    <row r="247" spans="2:18" ht="30" customHeight="1" x14ac:dyDescent="0.45">
      <c r="B247" s="9" t="s">
        <v>1387</v>
      </c>
      <c r="C247" s="9" t="s">
        <v>9</v>
      </c>
      <c r="D247" s="13" t="s">
        <v>35</v>
      </c>
      <c r="E247" s="10" t="s">
        <v>27</v>
      </c>
      <c r="F247" s="11">
        <v>45971</v>
      </c>
      <c r="G247" s="12" t="s">
        <v>775</v>
      </c>
      <c r="H247" s="12" t="s">
        <v>776</v>
      </c>
      <c r="I247" s="39">
        <v>0</v>
      </c>
      <c r="J247" s="15"/>
      <c r="K247" s="15"/>
      <c r="L247" s="14" t="s">
        <v>777</v>
      </c>
      <c r="M247" s="41" t="s">
        <v>29</v>
      </c>
      <c r="N247" s="16"/>
      <c r="O247" s="15"/>
      <c r="P247" s="17"/>
      <c r="Q247" s="17"/>
      <c r="R247" s="18" t="s">
        <v>241</v>
      </c>
    </row>
    <row r="248" spans="2:18" ht="30" customHeight="1" x14ac:dyDescent="0.45">
      <c r="B248" s="9" t="s">
        <v>1387</v>
      </c>
      <c r="C248" s="9" t="s">
        <v>17</v>
      </c>
      <c r="D248" s="13" t="s">
        <v>30</v>
      </c>
      <c r="E248" s="10" t="s">
        <v>27</v>
      </c>
      <c r="F248" s="11">
        <v>45971</v>
      </c>
      <c r="G248" s="12" t="s">
        <v>778</v>
      </c>
      <c r="H248" s="12" t="s">
        <v>779</v>
      </c>
      <c r="I248" s="39">
        <v>0</v>
      </c>
      <c r="J248" s="15"/>
      <c r="K248" s="15"/>
      <c r="L248" s="14" t="s">
        <v>780</v>
      </c>
      <c r="M248" s="41" t="s">
        <v>29</v>
      </c>
      <c r="N248" s="16"/>
      <c r="O248" s="15"/>
      <c r="P248" s="17"/>
      <c r="Q248" s="17"/>
      <c r="R248" s="18" t="s">
        <v>702</v>
      </c>
    </row>
    <row r="249" spans="2:18" ht="30" customHeight="1" x14ac:dyDescent="0.45">
      <c r="B249" s="9" t="s">
        <v>1387</v>
      </c>
      <c r="C249" s="9" t="s">
        <v>16</v>
      </c>
      <c r="D249" s="13" t="s">
        <v>30</v>
      </c>
      <c r="E249" s="10" t="s">
        <v>27</v>
      </c>
      <c r="F249" s="11">
        <v>45968</v>
      </c>
      <c r="G249" s="12" t="s">
        <v>787</v>
      </c>
      <c r="H249" s="12" t="s">
        <v>788</v>
      </c>
      <c r="I249" s="39">
        <v>0</v>
      </c>
      <c r="J249" s="15"/>
      <c r="K249" s="15"/>
      <c r="L249" s="14" t="s">
        <v>789</v>
      </c>
      <c r="M249" s="41" t="s">
        <v>29</v>
      </c>
      <c r="N249" s="16"/>
      <c r="O249" s="15"/>
      <c r="P249" s="17"/>
      <c r="Q249" s="17"/>
      <c r="R249" s="18" t="s">
        <v>31</v>
      </c>
    </row>
    <row r="250" spans="2:18" ht="30" customHeight="1" x14ac:dyDescent="0.45">
      <c r="B250" s="9" t="s">
        <v>1387</v>
      </c>
      <c r="C250" s="9" t="s">
        <v>16</v>
      </c>
      <c r="D250" s="13" t="s">
        <v>30</v>
      </c>
      <c r="E250" s="10" t="s">
        <v>27</v>
      </c>
      <c r="F250" s="11">
        <v>45967</v>
      </c>
      <c r="G250" s="12" t="s">
        <v>793</v>
      </c>
      <c r="H250" s="12" t="s">
        <v>794</v>
      </c>
      <c r="I250" s="40">
        <v>572</v>
      </c>
      <c r="J250" s="15">
        <v>6.4</v>
      </c>
      <c r="K250" s="15" t="s">
        <v>796</v>
      </c>
      <c r="L250" s="14" t="s">
        <v>795</v>
      </c>
      <c r="M250" s="41" t="s">
        <v>29</v>
      </c>
      <c r="N250" s="16"/>
      <c r="O250" s="15"/>
      <c r="P250" s="17" t="s">
        <v>18</v>
      </c>
      <c r="Q250" s="17"/>
      <c r="R250" s="18" t="s">
        <v>32</v>
      </c>
    </row>
    <row r="251" spans="2:18" ht="30" customHeight="1" x14ac:dyDescent="0.45">
      <c r="B251" s="9" t="s">
        <v>1387</v>
      </c>
      <c r="C251" s="9" t="s">
        <v>17</v>
      </c>
      <c r="D251" s="13" t="s">
        <v>30</v>
      </c>
      <c r="E251" s="10" t="s">
        <v>27</v>
      </c>
      <c r="F251" s="11">
        <v>45967</v>
      </c>
      <c r="G251" s="12" t="s">
        <v>790</v>
      </c>
      <c r="H251" s="12" t="s">
        <v>791</v>
      </c>
      <c r="I251" s="39">
        <v>0</v>
      </c>
      <c r="J251" s="15"/>
      <c r="K251" s="15"/>
      <c r="L251" s="14" t="s">
        <v>792</v>
      </c>
      <c r="M251" s="41" t="s">
        <v>29</v>
      </c>
      <c r="N251" s="16"/>
      <c r="O251" s="15"/>
      <c r="P251" s="17"/>
      <c r="Q251" s="17"/>
      <c r="R251" s="18" t="s">
        <v>31</v>
      </c>
    </row>
    <row r="252" spans="2:18" ht="30" customHeight="1" x14ac:dyDescent="0.45">
      <c r="B252" s="9" t="s">
        <v>1387</v>
      </c>
      <c r="C252" s="9" t="s">
        <v>15</v>
      </c>
      <c r="D252" s="13" t="s">
        <v>507</v>
      </c>
      <c r="E252" s="10" t="s">
        <v>27</v>
      </c>
      <c r="F252" s="11">
        <v>45966</v>
      </c>
      <c r="G252" s="12" t="s">
        <v>797</v>
      </c>
      <c r="H252" s="12" t="s">
        <v>798</v>
      </c>
      <c r="I252" s="40">
        <v>197</v>
      </c>
      <c r="J252" s="15"/>
      <c r="K252" s="15"/>
      <c r="L252" s="14" t="s">
        <v>799</v>
      </c>
      <c r="M252" s="41" t="s">
        <v>29</v>
      </c>
      <c r="N252" s="16"/>
      <c r="O252" s="15"/>
      <c r="P252" s="17"/>
      <c r="Q252" s="17"/>
      <c r="R252" s="18" t="s">
        <v>800</v>
      </c>
    </row>
    <row r="253" spans="2:18" ht="30" customHeight="1" x14ac:dyDescent="0.45">
      <c r="B253" s="9" t="s">
        <v>1387</v>
      </c>
      <c r="C253" s="9" t="s">
        <v>15</v>
      </c>
      <c r="D253" s="13" t="s">
        <v>30</v>
      </c>
      <c r="E253" s="10" t="s">
        <v>1381</v>
      </c>
      <c r="F253" s="11">
        <v>45965</v>
      </c>
      <c r="G253" s="12" t="s">
        <v>801</v>
      </c>
      <c r="H253" s="12" t="s">
        <v>802</v>
      </c>
      <c r="I253" s="39">
        <v>0</v>
      </c>
      <c r="J253" s="15"/>
      <c r="K253" s="15"/>
      <c r="L253" s="14" t="s">
        <v>803</v>
      </c>
      <c r="M253" s="41" t="s">
        <v>29</v>
      </c>
      <c r="N253" s="16"/>
      <c r="O253" s="15"/>
      <c r="P253" s="17"/>
      <c r="Q253" s="17"/>
      <c r="R253" s="18" t="s">
        <v>804</v>
      </c>
    </row>
    <row r="254" spans="2:18" ht="30" customHeight="1" x14ac:dyDescent="0.45">
      <c r="B254" s="9" t="s">
        <v>1387</v>
      </c>
      <c r="C254" s="9" t="s">
        <v>16</v>
      </c>
      <c r="D254" s="13" t="s">
        <v>110</v>
      </c>
      <c r="E254" s="10" t="s">
        <v>27</v>
      </c>
      <c r="F254" s="11">
        <v>45965</v>
      </c>
      <c r="G254" s="12" t="s">
        <v>805</v>
      </c>
      <c r="H254" s="12" t="s">
        <v>806</v>
      </c>
      <c r="I254" s="39">
        <v>0</v>
      </c>
      <c r="J254" s="15"/>
      <c r="K254" s="15"/>
      <c r="L254" s="14" t="s">
        <v>807</v>
      </c>
      <c r="M254" s="41" t="s">
        <v>29</v>
      </c>
      <c r="N254" s="16"/>
      <c r="O254" s="15"/>
      <c r="P254" s="17"/>
      <c r="Q254" s="17"/>
      <c r="R254" s="18" t="s">
        <v>31</v>
      </c>
    </row>
    <row r="255" spans="2:18" ht="30" customHeight="1" x14ac:dyDescent="0.45">
      <c r="B255" s="9" t="s">
        <v>1387</v>
      </c>
      <c r="C255" s="9" t="s">
        <v>17</v>
      </c>
      <c r="D255" s="13" t="s">
        <v>38</v>
      </c>
      <c r="E255" s="10" t="s">
        <v>27</v>
      </c>
      <c r="F255" s="11">
        <v>45964</v>
      </c>
      <c r="G255" s="12" t="s">
        <v>808</v>
      </c>
      <c r="H255" s="12" t="s">
        <v>809</v>
      </c>
      <c r="I255" s="39">
        <v>0</v>
      </c>
      <c r="J255" s="15"/>
      <c r="K255" s="15"/>
      <c r="L255" s="14" t="s">
        <v>810</v>
      </c>
      <c r="M255" s="41" t="s">
        <v>29</v>
      </c>
      <c r="N255" s="16"/>
      <c r="O255" s="15"/>
      <c r="P255" s="17"/>
      <c r="Q255" s="17"/>
      <c r="R255" s="18" t="s">
        <v>702</v>
      </c>
    </row>
    <row r="256" spans="2:18" ht="30" customHeight="1" x14ac:dyDescent="0.45">
      <c r="B256" s="9" t="s">
        <v>1387</v>
      </c>
      <c r="C256" s="9" t="s">
        <v>10</v>
      </c>
      <c r="D256" s="13" t="s">
        <v>110</v>
      </c>
      <c r="E256" s="10" t="s">
        <v>27</v>
      </c>
      <c r="F256" s="11">
        <v>45964</v>
      </c>
      <c r="G256" s="12" t="s">
        <v>811</v>
      </c>
      <c r="H256" s="12" t="s">
        <v>812</v>
      </c>
      <c r="I256" s="39">
        <v>0</v>
      </c>
      <c r="J256" s="15"/>
      <c r="K256" s="15"/>
      <c r="L256" s="14" t="s">
        <v>813</v>
      </c>
      <c r="M256" s="41" t="s">
        <v>29</v>
      </c>
      <c r="N256" s="16"/>
      <c r="O256" s="15"/>
      <c r="P256" s="17"/>
      <c r="Q256" s="17"/>
      <c r="R256" s="18" t="s">
        <v>702</v>
      </c>
    </row>
    <row r="257" spans="2:18" ht="30" customHeight="1" x14ac:dyDescent="0.45">
      <c r="B257" s="9" t="s">
        <v>1387</v>
      </c>
      <c r="C257" s="9" t="s">
        <v>10</v>
      </c>
      <c r="D257" s="13" t="s">
        <v>36</v>
      </c>
      <c r="E257" s="10" t="s">
        <v>27</v>
      </c>
      <c r="F257" s="11">
        <v>45960</v>
      </c>
      <c r="G257" s="12" t="s">
        <v>814</v>
      </c>
      <c r="H257" s="12" t="s">
        <v>815</v>
      </c>
      <c r="I257" s="39">
        <v>0</v>
      </c>
      <c r="J257" s="15"/>
      <c r="K257" s="15"/>
      <c r="L257" s="14" t="s">
        <v>816</v>
      </c>
      <c r="M257" s="41" t="s">
        <v>29</v>
      </c>
      <c r="N257" s="16"/>
      <c r="O257" s="15"/>
      <c r="P257" s="17"/>
      <c r="Q257" s="17"/>
      <c r="R257" s="18" t="s">
        <v>702</v>
      </c>
    </row>
    <row r="258" spans="2:18" ht="30" customHeight="1" x14ac:dyDescent="0.45">
      <c r="B258" s="9" t="s">
        <v>1387</v>
      </c>
      <c r="C258" s="9" t="s">
        <v>9</v>
      </c>
      <c r="D258" s="13" t="s">
        <v>30</v>
      </c>
      <c r="E258" s="10" t="s">
        <v>27</v>
      </c>
      <c r="F258" s="11">
        <v>45960</v>
      </c>
      <c r="G258" s="12" t="s">
        <v>817</v>
      </c>
      <c r="H258" s="12" t="s">
        <v>818</v>
      </c>
      <c r="I258" s="39">
        <v>0</v>
      </c>
      <c r="J258" s="15"/>
      <c r="K258" s="15"/>
      <c r="L258" s="14" t="s">
        <v>819</v>
      </c>
      <c r="M258" s="41" t="s">
        <v>29</v>
      </c>
      <c r="N258" s="16"/>
      <c r="O258" s="15"/>
      <c r="P258" s="17"/>
      <c r="Q258" s="17"/>
      <c r="R258" s="18" t="s">
        <v>820</v>
      </c>
    </row>
    <row r="259" spans="2:18" ht="30" customHeight="1" x14ac:dyDescent="0.45">
      <c r="B259" s="9" t="s">
        <v>1387</v>
      </c>
      <c r="C259" s="9" t="s">
        <v>15</v>
      </c>
      <c r="D259" s="13" t="s">
        <v>267</v>
      </c>
      <c r="E259" s="10" t="s">
        <v>1381</v>
      </c>
      <c r="F259" s="11">
        <v>45960</v>
      </c>
      <c r="G259" s="12" t="s">
        <v>821</v>
      </c>
      <c r="H259" s="12" t="s">
        <v>822</v>
      </c>
      <c r="I259" s="39">
        <v>0</v>
      </c>
      <c r="J259" s="15"/>
      <c r="K259" s="15"/>
      <c r="L259" s="14" t="s">
        <v>823</v>
      </c>
      <c r="M259" s="41" t="s">
        <v>29</v>
      </c>
      <c r="N259" s="16"/>
      <c r="O259" s="15"/>
      <c r="P259" s="17"/>
      <c r="Q259" s="17"/>
      <c r="R259" s="18" t="s">
        <v>821</v>
      </c>
    </row>
    <row r="260" spans="2:18" ht="30" customHeight="1" x14ac:dyDescent="0.45">
      <c r="B260" s="9" t="s">
        <v>1387</v>
      </c>
      <c r="C260" s="9" t="s">
        <v>12</v>
      </c>
      <c r="D260" s="13" t="s">
        <v>30</v>
      </c>
      <c r="E260" s="10" t="s">
        <v>27</v>
      </c>
      <c r="F260" s="11">
        <v>45959</v>
      </c>
      <c r="G260" s="12" t="s">
        <v>827</v>
      </c>
      <c r="H260" s="12" t="s">
        <v>828</v>
      </c>
      <c r="I260" s="40">
        <v>2900</v>
      </c>
      <c r="J260" s="15">
        <v>2.2999999999999998</v>
      </c>
      <c r="K260" s="15">
        <v>13.68</v>
      </c>
      <c r="L260" s="14" t="s">
        <v>829</v>
      </c>
      <c r="M260" s="41" t="s">
        <v>29</v>
      </c>
      <c r="N260" s="16" t="s">
        <v>33</v>
      </c>
      <c r="O260" s="15" t="s">
        <v>34</v>
      </c>
      <c r="P260" s="17"/>
      <c r="Q260" s="17"/>
      <c r="R260" s="18" t="s">
        <v>32</v>
      </c>
    </row>
    <row r="261" spans="2:18" ht="30" customHeight="1" x14ac:dyDescent="0.45">
      <c r="B261" s="9" t="s">
        <v>1387</v>
      </c>
      <c r="C261" s="9" t="s">
        <v>15</v>
      </c>
      <c r="D261" s="13" t="s">
        <v>30</v>
      </c>
      <c r="E261" s="10" t="s">
        <v>27</v>
      </c>
      <c r="F261" s="11">
        <v>45959</v>
      </c>
      <c r="G261" s="12" t="s">
        <v>824</v>
      </c>
      <c r="H261" s="12" t="s">
        <v>825</v>
      </c>
      <c r="I261" s="39">
        <v>0</v>
      </c>
      <c r="J261" s="39"/>
      <c r="K261" s="39"/>
      <c r="L261" s="14" t="s">
        <v>826</v>
      </c>
      <c r="M261" s="41" t="s">
        <v>29</v>
      </c>
      <c r="N261" s="16"/>
      <c r="O261" s="15"/>
      <c r="P261" s="17"/>
      <c r="Q261" s="17"/>
      <c r="R261" s="18" t="s">
        <v>31</v>
      </c>
    </row>
    <row r="262" spans="2:18" ht="30" customHeight="1" x14ac:dyDescent="0.45">
      <c r="B262" s="9" t="s">
        <v>1387</v>
      </c>
      <c r="C262" s="9" t="s">
        <v>14</v>
      </c>
      <c r="D262" s="13" t="s">
        <v>30</v>
      </c>
      <c r="E262" s="10" t="s">
        <v>27</v>
      </c>
      <c r="F262" s="11">
        <v>45959</v>
      </c>
      <c r="G262" s="12" t="s">
        <v>830</v>
      </c>
      <c r="H262" s="12" t="s">
        <v>831</v>
      </c>
      <c r="I262" s="39">
        <v>0</v>
      </c>
      <c r="J262" s="39"/>
      <c r="K262" s="39"/>
      <c r="L262" s="14" t="s">
        <v>832</v>
      </c>
      <c r="M262" s="41" t="s">
        <v>29</v>
      </c>
      <c r="N262" s="16"/>
      <c r="O262" s="15"/>
      <c r="P262" s="17"/>
      <c r="Q262" s="17"/>
      <c r="R262" s="18" t="s">
        <v>31</v>
      </c>
    </row>
    <row r="263" spans="2:18" ht="30" customHeight="1" x14ac:dyDescent="0.45">
      <c r="B263" s="9" t="s">
        <v>1387</v>
      </c>
      <c r="C263" s="9" t="s">
        <v>10</v>
      </c>
      <c r="D263" s="13" t="s">
        <v>36</v>
      </c>
      <c r="E263" s="10" t="s">
        <v>27</v>
      </c>
      <c r="F263" s="11">
        <v>45959</v>
      </c>
      <c r="G263" s="12" t="s">
        <v>833</v>
      </c>
      <c r="H263" s="12" t="s">
        <v>834</v>
      </c>
      <c r="I263" s="39">
        <v>0</v>
      </c>
      <c r="J263" s="39"/>
      <c r="K263" s="39"/>
      <c r="L263" s="14" t="s">
        <v>835</v>
      </c>
      <c r="M263" s="41" t="s">
        <v>29</v>
      </c>
      <c r="N263" s="16"/>
      <c r="O263" s="15"/>
      <c r="P263" s="17"/>
      <c r="Q263" s="17"/>
      <c r="R263" s="18" t="s">
        <v>702</v>
      </c>
    </row>
    <row r="264" spans="2:18" ht="30" customHeight="1" x14ac:dyDescent="0.45">
      <c r="B264" s="9" t="s">
        <v>1387</v>
      </c>
      <c r="C264" s="9" t="s">
        <v>15</v>
      </c>
      <c r="D264" s="13" t="s">
        <v>30</v>
      </c>
      <c r="E264" s="10" t="s">
        <v>27</v>
      </c>
      <c r="F264" s="11">
        <v>45958</v>
      </c>
      <c r="G264" s="12" t="s">
        <v>845</v>
      </c>
      <c r="H264" s="12" t="s">
        <v>846</v>
      </c>
      <c r="I264" s="40">
        <v>800</v>
      </c>
      <c r="J264" s="40"/>
      <c r="K264" s="40"/>
      <c r="L264" s="14" t="s">
        <v>847</v>
      </c>
      <c r="M264" s="41" t="s">
        <v>29</v>
      </c>
      <c r="N264" s="16"/>
      <c r="O264" s="15"/>
      <c r="P264" s="17"/>
      <c r="Q264" s="17"/>
      <c r="R264" s="18" t="s">
        <v>31</v>
      </c>
    </row>
    <row r="265" spans="2:18" ht="30" customHeight="1" x14ac:dyDescent="0.45">
      <c r="B265" s="9" t="s">
        <v>1387</v>
      </c>
      <c r="C265" s="9" t="s">
        <v>12</v>
      </c>
      <c r="D265" s="13" t="s">
        <v>30</v>
      </c>
      <c r="E265" s="10" t="s">
        <v>1381</v>
      </c>
      <c r="F265" s="11">
        <v>45958</v>
      </c>
      <c r="G265" s="12" t="s">
        <v>836</v>
      </c>
      <c r="H265" s="12" t="s">
        <v>323</v>
      </c>
      <c r="I265" s="39">
        <v>0</v>
      </c>
      <c r="J265" s="39"/>
      <c r="K265" s="39"/>
      <c r="L265" s="14" t="s">
        <v>837</v>
      </c>
      <c r="M265" s="41" t="s">
        <v>29</v>
      </c>
      <c r="N265" s="16"/>
      <c r="O265" s="15"/>
      <c r="P265" s="17"/>
      <c r="Q265" s="17"/>
      <c r="R265" s="18" t="s">
        <v>31</v>
      </c>
    </row>
    <row r="266" spans="2:18" ht="30" customHeight="1" x14ac:dyDescent="0.45">
      <c r="B266" s="9" t="s">
        <v>1387</v>
      </c>
      <c r="C266" s="9" t="s">
        <v>15</v>
      </c>
      <c r="D266" s="13" t="s">
        <v>30</v>
      </c>
      <c r="E266" s="10" t="s">
        <v>1381</v>
      </c>
      <c r="F266" s="11">
        <v>45958</v>
      </c>
      <c r="G266" s="12" t="s">
        <v>838</v>
      </c>
      <c r="H266" s="12" t="s">
        <v>839</v>
      </c>
      <c r="I266" s="39">
        <v>0</v>
      </c>
      <c r="J266" s="39"/>
      <c r="K266" s="39"/>
      <c r="L266" s="14" t="s">
        <v>840</v>
      </c>
      <c r="M266" s="41" t="s">
        <v>29</v>
      </c>
      <c r="N266" s="16"/>
      <c r="O266" s="15"/>
      <c r="P266" s="17"/>
      <c r="Q266" s="17"/>
      <c r="R266" s="18" t="s">
        <v>841</v>
      </c>
    </row>
    <row r="267" spans="2:18" ht="30" customHeight="1" x14ac:dyDescent="0.45">
      <c r="B267" s="9" t="s">
        <v>1387</v>
      </c>
      <c r="C267" s="9" t="s">
        <v>9</v>
      </c>
      <c r="D267" s="13" t="s">
        <v>35</v>
      </c>
      <c r="E267" s="10" t="s">
        <v>27</v>
      </c>
      <c r="F267" s="11">
        <v>45958</v>
      </c>
      <c r="G267" s="12" t="s">
        <v>842</v>
      </c>
      <c r="H267" s="12" t="s">
        <v>843</v>
      </c>
      <c r="I267" s="39">
        <v>0</v>
      </c>
      <c r="J267" s="39"/>
      <c r="K267" s="39"/>
      <c r="L267" s="14" t="s">
        <v>844</v>
      </c>
      <c r="M267" s="41" t="s">
        <v>29</v>
      </c>
      <c r="N267" s="16"/>
      <c r="O267" s="15"/>
      <c r="P267" s="17"/>
      <c r="Q267" s="17"/>
      <c r="R267" s="18" t="s">
        <v>702</v>
      </c>
    </row>
    <row r="268" spans="2:18" ht="30" customHeight="1" x14ac:dyDescent="0.45">
      <c r="B268" s="9" t="s">
        <v>1387</v>
      </c>
      <c r="C268" s="9" t="s">
        <v>16</v>
      </c>
      <c r="D268" s="13" t="s">
        <v>357</v>
      </c>
      <c r="E268" s="10" t="s">
        <v>1381</v>
      </c>
      <c r="F268" s="11">
        <v>45958</v>
      </c>
      <c r="G268" s="12" t="s">
        <v>848</v>
      </c>
      <c r="H268" s="12" t="s">
        <v>849</v>
      </c>
      <c r="I268" s="39">
        <v>0</v>
      </c>
      <c r="J268" s="39"/>
      <c r="K268" s="39"/>
      <c r="L268" s="14" t="s">
        <v>850</v>
      </c>
      <c r="M268" s="41" t="s">
        <v>29</v>
      </c>
      <c r="N268" s="16"/>
      <c r="O268" s="15"/>
      <c r="P268" s="17"/>
      <c r="Q268" s="17"/>
      <c r="R268" s="18" t="s">
        <v>851</v>
      </c>
    </row>
    <row r="269" spans="2:18" ht="30" customHeight="1" x14ac:dyDescent="0.45">
      <c r="B269" s="9" t="s">
        <v>1387</v>
      </c>
      <c r="C269" s="9" t="s">
        <v>16</v>
      </c>
      <c r="D269" s="13" t="s">
        <v>110</v>
      </c>
      <c r="E269" s="10" t="s">
        <v>1381</v>
      </c>
      <c r="F269" s="11">
        <v>45957</v>
      </c>
      <c r="G269" s="12" t="s">
        <v>859</v>
      </c>
      <c r="H269" s="12" t="s">
        <v>218</v>
      </c>
      <c r="I269" s="40">
        <v>250</v>
      </c>
      <c r="J269" s="40"/>
      <c r="K269" s="40"/>
      <c r="L269" s="14" t="s">
        <v>860</v>
      </c>
      <c r="M269" s="41" t="s">
        <v>29</v>
      </c>
      <c r="N269" s="16"/>
      <c r="O269" s="15"/>
      <c r="P269" s="17"/>
      <c r="Q269" s="17"/>
      <c r="R269" s="18" t="s">
        <v>702</v>
      </c>
    </row>
    <row r="270" spans="2:18" ht="30" customHeight="1" x14ac:dyDescent="0.45">
      <c r="B270" s="9" t="s">
        <v>1387</v>
      </c>
      <c r="C270" s="9" t="s">
        <v>17</v>
      </c>
      <c r="D270" s="13" t="s">
        <v>30</v>
      </c>
      <c r="E270" s="10" t="s">
        <v>27</v>
      </c>
      <c r="F270" s="11">
        <v>45957</v>
      </c>
      <c r="G270" s="12" t="s">
        <v>852</v>
      </c>
      <c r="H270" s="12" t="s">
        <v>853</v>
      </c>
      <c r="I270" s="39">
        <v>0</v>
      </c>
      <c r="J270" s="39"/>
      <c r="K270" s="39"/>
      <c r="L270" s="14" t="s">
        <v>854</v>
      </c>
      <c r="M270" s="41" t="s">
        <v>29</v>
      </c>
      <c r="N270" s="16"/>
      <c r="O270" s="15"/>
      <c r="P270" s="17"/>
      <c r="Q270" s="17"/>
      <c r="R270" s="18" t="s">
        <v>31</v>
      </c>
    </row>
    <row r="271" spans="2:18" ht="30" customHeight="1" x14ac:dyDescent="0.45">
      <c r="B271" s="9" t="s">
        <v>1387</v>
      </c>
      <c r="C271" s="9" t="s">
        <v>12</v>
      </c>
      <c r="D271" s="13" t="s">
        <v>110</v>
      </c>
      <c r="E271" s="10" t="s">
        <v>1381</v>
      </c>
      <c r="F271" s="11">
        <v>45957</v>
      </c>
      <c r="G271" s="12" t="s">
        <v>855</v>
      </c>
      <c r="H271" s="12" t="s">
        <v>856</v>
      </c>
      <c r="I271" s="39">
        <v>0</v>
      </c>
      <c r="J271" s="39"/>
      <c r="K271" s="39"/>
      <c r="L271" s="14" t="s">
        <v>857</v>
      </c>
      <c r="M271" s="41" t="s">
        <v>29</v>
      </c>
      <c r="N271" s="16"/>
      <c r="O271" s="15"/>
      <c r="P271" s="17"/>
      <c r="Q271" s="17"/>
      <c r="R271" s="18" t="s">
        <v>858</v>
      </c>
    </row>
    <row r="272" spans="2:18" ht="30" customHeight="1" x14ac:dyDescent="0.45">
      <c r="B272" s="9" t="s">
        <v>1387</v>
      </c>
      <c r="C272" s="9" t="s">
        <v>15</v>
      </c>
      <c r="D272" s="13" t="s">
        <v>30</v>
      </c>
      <c r="E272" s="10" t="s">
        <v>1381</v>
      </c>
      <c r="F272" s="11">
        <v>45955</v>
      </c>
      <c r="G272" s="12" t="s">
        <v>861</v>
      </c>
      <c r="H272" s="12" t="s">
        <v>862</v>
      </c>
      <c r="I272" s="39">
        <v>0</v>
      </c>
      <c r="J272" s="39"/>
      <c r="K272" s="39"/>
      <c r="L272" s="14" t="s">
        <v>863</v>
      </c>
      <c r="M272" s="41" t="s">
        <v>29</v>
      </c>
      <c r="N272" s="16"/>
      <c r="O272" s="15"/>
      <c r="P272" s="17"/>
      <c r="Q272" s="17"/>
      <c r="R272" s="18" t="s">
        <v>702</v>
      </c>
    </row>
    <row r="273" spans="2:18" ht="30" customHeight="1" x14ac:dyDescent="0.45">
      <c r="B273" s="9" t="s">
        <v>1387</v>
      </c>
      <c r="C273" s="9" t="s">
        <v>17</v>
      </c>
      <c r="D273" s="13" t="s">
        <v>110</v>
      </c>
      <c r="E273" s="10" t="s">
        <v>27</v>
      </c>
      <c r="F273" s="11">
        <v>45954</v>
      </c>
      <c r="G273" s="12" t="s">
        <v>864</v>
      </c>
      <c r="H273" s="12" t="s">
        <v>452</v>
      </c>
      <c r="I273" s="39">
        <v>0</v>
      </c>
      <c r="J273" s="39"/>
      <c r="K273" s="39"/>
      <c r="L273" s="14" t="s">
        <v>865</v>
      </c>
      <c r="M273" s="41" t="s">
        <v>29</v>
      </c>
      <c r="N273" s="16"/>
      <c r="O273" s="15"/>
      <c r="P273" s="17"/>
      <c r="Q273" s="17"/>
      <c r="R273" s="18" t="s">
        <v>702</v>
      </c>
    </row>
    <row r="274" spans="2:18" ht="30" customHeight="1" x14ac:dyDescent="0.45">
      <c r="B274" s="9" t="s">
        <v>1387</v>
      </c>
      <c r="C274" s="9" t="s">
        <v>15</v>
      </c>
      <c r="D274" s="13" t="s">
        <v>35</v>
      </c>
      <c r="E274" s="10" t="s">
        <v>27</v>
      </c>
      <c r="F274" s="11">
        <v>45953</v>
      </c>
      <c r="G274" s="12" t="s">
        <v>866</v>
      </c>
      <c r="H274" s="12" t="s">
        <v>867</v>
      </c>
      <c r="I274" s="39">
        <v>0</v>
      </c>
      <c r="J274" s="39"/>
      <c r="K274" s="39"/>
      <c r="L274" s="14" t="s">
        <v>868</v>
      </c>
      <c r="M274" s="41" t="s">
        <v>29</v>
      </c>
      <c r="N274" s="16"/>
      <c r="O274" s="15"/>
      <c r="P274" s="17"/>
      <c r="Q274" s="17"/>
      <c r="R274" s="18" t="s">
        <v>869</v>
      </c>
    </row>
    <row r="275" spans="2:18" ht="30" customHeight="1" x14ac:dyDescent="0.45">
      <c r="B275" s="9" t="s">
        <v>1387</v>
      </c>
      <c r="C275" s="9" t="s">
        <v>16</v>
      </c>
      <c r="D275" s="13" t="s">
        <v>30</v>
      </c>
      <c r="E275" s="10" t="s">
        <v>27</v>
      </c>
      <c r="F275" s="11">
        <v>45953</v>
      </c>
      <c r="G275" s="12" t="s">
        <v>870</v>
      </c>
      <c r="H275" s="12" t="s">
        <v>37</v>
      </c>
      <c r="I275" s="39">
        <v>0</v>
      </c>
      <c r="J275" s="39"/>
      <c r="K275" s="39"/>
      <c r="L275" s="14" t="s">
        <v>871</v>
      </c>
      <c r="M275" s="41" t="s">
        <v>29</v>
      </c>
      <c r="N275" s="16"/>
      <c r="O275" s="15"/>
      <c r="P275" s="17"/>
      <c r="Q275" s="17"/>
      <c r="R275" s="18" t="s">
        <v>31</v>
      </c>
    </row>
    <row r="276" spans="2:18" ht="30" customHeight="1" x14ac:dyDescent="0.45">
      <c r="B276" s="9" t="s">
        <v>1387</v>
      </c>
      <c r="C276" s="9" t="s">
        <v>16</v>
      </c>
      <c r="D276" s="13" t="s">
        <v>30</v>
      </c>
      <c r="E276" s="10" t="s">
        <v>27</v>
      </c>
      <c r="F276" s="11">
        <v>45953</v>
      </c>
      <c r="G276" s="12" t="s">
        <v>872</v>
      </c>
      <c r="H276" s="12" t="s">
        <v>873</v>
      </c>
      <c r="I276" s="39">
        <v>0</v>
      </c>
      <c r="J276" s="39"/>
      <c r="K276" s="39"/>
      <c r="L276" s="14" t="s">
        <v>874</v>
      </c>
      <c r="M276" s="41" t="s">
        <v>29</v>
      </c>
      <c r="N276" s="16"/>
      <c r="O276" s="15"/>
      <c r="P276" s="17"/>
      <c r="Q276" s="17"/>
      <c r="R276" s="18" t="s">
        <v>875</v>
      </c>
    </row>
    <row r="277" spans="2:18" ht="30" customHeight="1" x14ac:dyDescent="0.45">
      <c r="B277" s="9" t="s">
        <v>1387</v>
      </c>
      <c r="C277" s="9" t="s">
        <v>16</v>
      </c>
      <c r="D277" s="13" t="s">
        <v>30</v>
      </c>
      <c r="E277" s="10" t="s">
        <v>27</v>
      </c>
      <c r="F277" s="11">
        <v>45952</v>
      </c>
      <c r="G277" s="12" t="s">
        <v>883</v>
      </c>
      <c r="H277" s="12" t="s">
        <v>884</v>
      </c>
      <c r="I277" s="40">
        <v>40</v>
      </c>
      <c r="J277" s="40"/>
      <c r="K277" s="40"/>
      <c r="L277" s="14" t="s">
        <v>885</v>
      </c>
      <c r="M277" s="41" t="s">
        <v>29</v>
      </c>
      <c r="N277" s="16"/>
      <c r="O277" s="15"/>
      <c r="P277" s="17"/>
      <c r="Q277" s="17"/>
      <c r="R277" s="18" t="s">
        <v>702</v>
      </c>
    </row>
    <row r="278" spans="2:18" ht="30" customHeight="1" x14ac:dyDescent="0.45">
      <c r="B278" s="9" t="s">
        <v>1387</v>
      </c>
      <c r="C278" s="9" t="s">
        <v>16</v>
      </c>
      <c r="D278" s="13" t="s">
        <v>133</v>
      </c>
      <c r="E278" s="10" t="s">
        <v>27</v>
      </c>
      <c r="F278" s="11">
        <v>45952</v>
      </c>
      <c r="G278" s="12" t="s">
        <v>876</v>
      </c>
      <c r="H278" s="12" t="s">
        <v>877</v>
      </c>
      <c r="I278" s="39">
        <v>0</v>
      </c>
      <c r="J278" s="39"/>
      <c r="K278" s="39"/>
      <c r="L278" s="14" t="s">
        <v>878</v>
      </c>
      <c r="M278" s="41" t="s">
        <v>29</v>
      </c>
      <c r="N278" s="16"/>
      <c r="O278" s="15"/>
      <c r="P278" s="17"/>
      <c r="Q278" s="17"/>
      <c r="R278" s="18" t="s">
        <v>879</v>
      </c>
    </row>
    <row r="279" spans="2:18" ht="30" customHeight="1" x14ac:dyDescent="0.45">
      <c r="B279" s="9" t="s">
        <v>1387</v>
      </c>
      <c r="C279" s="9" t="s">
        <v>17</v>
      </c>
      <c r="D279" s="13" t="s">
        <v>30</v>
      </c>
      <c r="E279" s="10" t="s">
        <v>27</v>
      </c>
      <c r="F279" s="11">
        <v>45952</v>
      </c>
      <c r="G279" s="12" t="s">
        <v>880</v>
      </c>
      <c r="H279" s="12" t="s">
        <v>881</v>
      </c>
      <c r="I279" s="39">
        <v>0</v>
      </c>
      <c r="J279" s="39"/>
      <c r="K279" s="39"/>
      <c r="L279" s="14" t="s">
        <v>882</v>
      </c>
      <c r="M279" s="41" t="s">
        <v>29</v>
      </c>
      <c r="N279" s="16"/>
      <c r="O279" s="15"/>
      <c r="P279" s="17"/>
      <c r="Q279" s="17"/>
      <c r="R279" s="18" t="s">
        <v>702</v>
      </c>
    </row>
    <row r="280" spans="2:18" ht="30" customHeight="1" x14ac:dyDescent="0.45">
      <c r="B280" s="9" t="s">
        <v>1387</v>
      </c>
      <c r="C280" s="9" t="s">
        <v>16</v>
      </c>
      <c r="D280" s="13" t="s">
        <v>219</v>
      </c>
      <c r="E280" s="10" t="s">
        <v>27</v>
      </c>
      <c r="F280" s="11">
        <v>45952</v>
      </c>
      <c r="G280" s="12" t="s">
        <v>886</v>
      </c>
      <c r="H280" s="12" t="s">
        <v>887</v>
      </c>
      <c r="I280" s="39">
        <v>0</v>
      </c>
      <c r="J280" s="39"/>
      <c r="K280" s="39"/>
      <c r="L280" s="14" t="s">
        <v>888</v>
      </c>
      <c r="M280" s="41" t="s">
        <v>29</v>
      </c>
      <c r="N280" s="16"/>
      <c r="O280" s="15"/>
      <c r="P280" s="17"/>
      <c r="Q280" s="17"/>
      <c r="R280" s="18" t="s">
        <v>702</v>
      </c>
    </row>
    <row r="281" spans="2:18" ht="30" customHeight="1" x14ac:dyDescent="0.45">
      <c r="B281" s="9" t="s">
        <v>1387</v>
      </c>
      <c r="C281" s="9" t="s">
        <v>10</v>
      </c>
      <c r="D281" s="13" t="s">
        <v>903</v>
      </c>
      <c r="E281" s="10" t="s">
        <v>27</v>
      </c>
      <c r="F281" s="11">
        <v>45951</v>
      </c>
      <c r="G281" s="12" t="s">
        <v>901</v>
      </c>
      <c r="H281" s="12" t="s">
        <v>902</v>
      </c>
      <c r="I281" s="40">
        <v>80</v>
      </c>
      <c r="J281" s="40"/>
      <c r="K281" s="40"/>
      <c r="L281" s="14" t="s">
        <v>904</v>
      </c>
      <c r="M281" s="41" t="s">
        <v>29</v>
      </c>
      <c r="N281" s="16"/>
      <c r="O281" s="15"/>
      <c r="P281" s="17"/>
      <c r="Q281" s="17"/>
      <c r="R281" s="18" t="s">
        <v>702</v>
      </c>
    </row>
    <row r="282" spans="2:18" ht="30" customHeight="1" x14ac:dyDescent="0.45">
      <c r="B282" s="9" t="s">
        <v>1387</v>
      </c>
      <c r="C282" s="9" t="s">
        <v>9</v>
      </c>
      <c r="D282" s="13" t="s">
        <v>30</v>
      </c>
      <c r="E282" s="10" t="s">
        <v>27</v>
      </c>
      <c r="F282" s="11">
        <v>45951</v>
      </c>
      <c r="G282" s="12" t="s">
        <v>889</v>
      </c>
      <c r="H282" s="12" t="s">
        <v>890</v>
      </c>
      <c r="I282" s="39">
        <v>0</v>
      </c>
      <c r="J282" s="39"/>
      <c r="K282" s="39"/>
      <c r="L282" s="14" t="s">
        <v>891</v>
      </c>
      <c r="M282" s="41" t="s">
        <v>29</v>
      </c>
      <c r="N282" s="16"/>
      <c r="O282" s="15"/>
      <c r="P282" s="17"/>
      <c r="Q282" s="17"/>
      <c r="R282" s="18" t="s">
        <v>702</v>
      </c>
    </row>
    <row r="283" spans="2:18" ht="30" customHeight="1" x14ac:dyDescent="0.45">
      <c r="B283" s="9" t="s">
        <v>1387</v>
      </c>
      <c r="C283" s="9" t="s">
        <v>16</v>
      </c>
      <c r="D283" s="13" t="s">
        <v>30</v>
      </c>
      <c r="E283" s="10" t="s">
        <v>27</v>
      </c>
      <c r="F283" s="11">
        <v>45951</v>
      </c>
      <c r="G283" s="12" t="s">
        <v>892</v>
      </c>
      <c r="H283" s="12" t="s">
        <v>893</v>
      </c>
      <c r="I283" s="39">
        <v>0</v>
      </c>
      <c r="J283" s="39"/>
      <c r="K283" s="39"/>
      <c r="L283" s="14" t="s">
        <v>894</v>
      </c>
      <c r="M283" s="41" t="s">
        <v>29</v>
      </c>
      <c r="N283" s="16"/>
      <c r="O283" s="15"/>
      <c r="P283" s="17"/>
      <c r="Q283" s="17"/>
      <c r="R283" s="18" t="s">
        <v>31</v>
      </c>
    </row>
    <row r="284" spans="2:18" ht="30" customHeight="1" x14ac:dyDescent="0.45">
      <c r="B284" s="9" t="s">
        <v>1387</v>
      </c>
      <c r="C284" s="9" t="s">
        <v>16</v>
      </c>
      <c r="D284" s="13" t="s">
        <v>30</v>
      </c>
      <c r="E284" s="10" t="s">
        <v>27</v>
      </c>
      <c r="F284" s="11">
        <v>45951</v>
      </c>
      <c r="G284" s="12" t="s">
        <v>895</v>
      </c>
      <c r="H284" s="12" t="s">
        <v>896</v>
      </c>
      <c r="I284" s="39">
        <v>0</v>
      </c>
      <c r="J284" s="39"/>
      <c r="K284" s="39"/>
      <c r="L284" s="14" t="s">
        <v>897</v>
      </c>
      <c r="M284" s="41" t="s">
        <v>29</v>
      </c>
      <c r="N284" s="16"/>
      <c r="O284" s="15"/>
      <c r="P284" s="17"/>
      <c r="Q284" s="17"/>
      <c r="R284" s="18" t="s">
        <v>702</v>
      </c>
    </row>
    <row r="285" spans="2:18" ht="30" customHeight="1" x14ac:dyDescent="0.45">
      <c r="B285" s="9" t="s">
        <v>1387</v>
      </c>
      <c r="C285" s="9" t="s">
        <v>10</v>
      </c>
      <c r="D285" s="13" t="s">
        <v>267</v>
      </c>
      <c r="E285" s="10" t="s">
        <v>27</v>
      </c>
      <c r="F285" s="11">
        <v>45951</v>
      </c>
      <c r="G285" s="12" t="s">
        <v>898</v>
      </c>
      <c r="H285" s="12" t="s">
        <v>899</v>
      </c>
      <c r="I285" s="39">
        <v>0</v>
      </c>
      <c r="J285" s="39"/>
      <c r="K285" s="39"/>
      <c r="L285" s="14" t="s">
        <v>900</v>
      </c>
      <c r="M285" s="41" t="s">
        <v>29</v>
      </c>
      <c r="N285" s="16"/>
      <c r="O285" s="15"/>
      <c r="P285" s="17"/>
      <c r="Q285" s="17"/>
      <c r="R285" s="18" t="s">
        <v>31</v>
      </c>
    </row>
    <row r="286" spans="2:18" ht="30" customHeight="1" x14ac:dyDescent="0.45">
      <c r="B286" s="9" t="s">
        <v>1387</v>
      </c>
      <c r="C286" s="9" t="s">
        <v>15</v>
      </c>
      <c r="D286" s="13" t="s">
        <v>30</v>
      </c>
      <c r="E286" s="10" t="s">
        <v>27</v>
      </c>
      <c r="F286" s="11">
        <v>45951</v>
      </c>
      <c r="G286" s="12" t="s">
        <v>905</v>
      </c>
      <c r="H286" s="12" t="s">
        <v>906</v>
      </c>
      <c r="I286" s="39">
        <v>0</v>
      </c>
      <c r="J286" s="39"/>
      <c r="K286" s="39"/>
      <c r="L286" s="14" t="s">
        <v>907</v>
      </c>
      <c r="M286" s="41" t="s">
        <v>29</v>
      </c>
      <c r="N286" s="16"/>
      <c r="O286" s="15"/>
      <c r="P286" s="17"/>
      <c r="Q286" s="17"/>
      <c r="R286" s="18" t="s">
        <v>31</v>
      </c>
    </row>
    <row r="287" spans="2:18" ht="30" customHeight="1" x14ac:dyDescent="0.45">
      <c r="B287" s="9" t="s">
        <v>1387</v>
      </c>
      <c r="C287" s="9" t="s">
        <v>9</v>
      </c>
      <c r="D287" s="13" t="s">
        <v>110</v>
      </c>
      <c r="E287" s="10" t="s">
        <v>27</v>
      </c>
      <c r="F287" s="11">
        <v>45950</v>
      </c>
      <c r="G287" s="12" t="s">
        <v>908</v>
      </c>
      <c r="H287" s="12" t="s">
        <v>909</v>
      </c>
      <c r="I287" s="39">
        <v>0</v>
      </c>
      <c r="J287" s="39"/>
      <c r="K287" s="39"/>
      <c r="L287" s="14" t="s">
        <v>910</v>
      </c>
      <c r="M287" s="41" t="s">
        <v>29</v>
      </c>
      <c r="N287" s="16"/>
      <c r="O287" s="15"/>
      <c r="P287" s="17"/>
      <c r="Q287" s="17"/>
      <c r="R287" s="18" t="s">
        <v>702</v>
      </c>
    </row>
    <row r="288" spans="2:18" ht="30" customHeight="1" x14ac:dyDescent="0.45">
      <c r="B288" s="9" t="s">
        <v>1387</v>
      </c>
      <c r="C288" s="9" t="s">
        <v>12</v>
      </c>
      <c r="D288" s="13" t="s">
        <v>441</v>
      </c>
      <c r="E288" s="10" t="s">
        <v>27</v>
      </c>
      <c r="F288" s="11">
        <v>45950</v>
      </c>
      <c r="G288" s="12" t="s">
        <v>911</v>
      </c>
      <c r="H288" s="12" t="s">
        <v>912</v>
      </c>
      <c r="I288" s="39">
        <v>0</v>
      </c>
      <c r="J288" s="39"/>
      <c r="K288" s="39"/>
      <c r="L288" s="14" t="s">
        <v>913</v>
      </c>
      <c r="M288" s="41" t="s">
        <v>29</v>
      </c>
      <c r="N288" s="16"/>
      <c r="O288" s="15"/>
      <c r="P288" s="17"/>
      <c r="Q288" s="17"/>
      <c r="R288" s="18" t="s">
        <v>914</v>
      </c>
    </row>
    <row r="289" spans="2:18" ht="30" customHeight="1" x14ac:dyDescent="0.45">
      <c r="B289" s="9" t="s">
        <v>1387</v>
      </c>
      <c r="C289" s="9" t="s">
        <v>15</v>
      </c>
      <c r="D289" s="13" t="s">
        <v>110</v>
      </c>
      <c r="E289" s="10" t="s">
        <v>27</v>
      </c>
      <c r="F289" s="11">
        <v>45950</v>
      </c>
      <c r="G289" s="12" t="s">
        <v>915</v>
      </c>
      <c r="H289" s="12" t="s">
        <v>916</v>
      </c>
      <c r="I289" s="39">
        <v>0</v>
      </c>
      <c r="J289" s="39"/>
      <c r="K289" s="39"/>
      <c r="L289" s="14" t="s">
        <v>917</v>
      </c>
      <c r="M289" s="41" t="s">
        <v>29</v>
      </c>
      <c r="N289" s="16"/>
      <c r="O289" s="15"/>
      <c r="P289" s="17"/>
      <c r="Q289" s="17"/>
      <c r="R289" s="18" t="s">
        <v>702</v>
      </c>
    </row>
    <row r="290" spans="2:18" ht="30" customHeight="1" x14ac:dyDescent="0.45">
      <c r="B290" s="9" t="s">
        <v>1387</v>
      </c>
      <c r="C290" s="9" t="s">
        <v>15</v>
      </c>
      <c r="D290" s="13" t="s">
        <v>110</v>
      </c>
      <c r="E290" s="10" t="s">
        <v>27</v>
      </c>
      <c r="F290" s="11">
        <v>45950</v>
      </c>
      <c r="G290" s="12" t="s">
        <v>918</v>
      </c>
      <c r="H290" s="12" t="s">
        <v>919</v>
      </c>
      <c r="I290" s="39">
        <v>0</v>
      </c>
      <c r="J290" s="39"/>
      <c r="K290" s="39"/>
      <c r="L290" s="14" t="s">
        <v>920</v>
      </c>
      <c r="M290" s="41" t="s">
        <v>29</v>
      </c>
      <c r="N290" s="16"/>
      <c r="O290" s="15"/>
      <c r="P290" s="17"/>
      <c r="Q290" s="17"/>
      <c r="R290" s="18" t="s">
        <v>31</v>
      </c>
    </row>
    <row r="291" spans="2:18" ht="30" customHeight="1" x14ac:dyDescent="0.45">
      <c r="B291" s="9" t="s">
        <v>1387</v>
      </c>
      <c r="C291" s="9" t="s">
        <v>14</v>
      </c>
      <c r="D291" s="13" t="s">
        <v>30</v>
      </c>
      <c r="E291" s="10" t="s">
        <v>1381</v>
      </c>
      <c r="F291" s="11">
        <v>45948</v>
      </c>
      <c r="G291" s="12" t="s">
        <v>921</v>
      </c>
      <c r="H291" s="12" t="s">
        <v>922</v>
      </c>
      <c r="I291" s="39">
        <v>0</v>
      </c>
      <c r="J291" s="39"/>
      <c r="K291" s="39"/>
      <c r="L291" s="14" t="s">
        <v>923</v>
      </c>
      <c r="M291" s="41" t="s">
        <v>29</v>
      </c>
      <c r="N291" s="16"/>
      <c r="O291" s="15"/>
      <c r="P291" s="17"/>
      <c r="Q291" s="17"/>
      <c r="R291" s="18" t="s">
        <v>137</v>
      </c>
    </row>
    <row r="292" spans="2:18" ht="30" customHeight="1" x14ac:dyDescent="0.45">
      <c r="B292" s="9" t="s">
        <v>1387</v>
      </c>
      <c r="C292" s="9" t="s">
        <v>16</v>
      </c>
      <c r="D292" s="13" t="s">
        <v>30</v>
      </c>
      <c r="E292" s="10" t="s">
        <v>27</v>
      </c>
      <c r="F292" s="11">
        <v>45946</v>
      </c>
      <c r="G292" s="12" t="s">
        <v>939</v>
      </c>
      <c r="H292" s="12" t="s">
        <v>812</v>
      </c>
      <c r="I292" s="40">
        <v>1000</v>
      </c>
      <c r="J292" s="40"/>
      <c r="K292" s="40"/>
      <c r="L292" s="14" t="s">
        <v>940</v>
      </c>
      <c r="M292" s="41" t="s">
        <v>29</v>
      </c>
      <c r="N292" s="16"/>
      <c r="O292" s="15"/>
      <c r="P292" s="17"/>
      <c r="Q292" s="17"/>
      <c r="R292" s="18" t="s">
        <v>941</v>
      </c>
    </row>
    <row r="293" spans="2:18" ht="30" customHeight="1" x14ac:dyDescent="0.45">
      <c r="B293" s="9" t="s">
        <v>1387</v>
      </c>
      <c r="C293" s="9" t="s">
        <v>16</v>
      </c>
      <c r="D293" s="13" t="s">
        <v>30</v>
      </c>
      <c r="E293" s="10" t="s">
        <v>27</v>
      </c>
      <c r="F293" s="11">
        <v>45946</v>
      </c>
      <c r="G293" s="12" t="s">
        <v>942</v>
      </c>
      <c r="H293" s="12" t="s">
        <v>943</v>
      </c>
      <c r="I293" s="40">
        <v>100</v>
      </c>
      <c r="J293" s="40"/>
      <c r="K293" s="40"/>
      <c r="L293" s="14" t="s">
        <v>944</v>
      </c>
      <c r="M293" s="41" t="s">
        <v>29</v>
      </c>
      <c r="N293" s="16"/>
      <c r="O293" s="15"/>
      <c r="P293" s="17"/>
      <c r="Q293" s="17"/>
      <c r="R293" s="18" t="s">
        <v>945</v>
      </c>
    </row>
    <row r="294" spans="2:18" ht="30" customHeight="1" x14ac:dyDescent="0.45">
      <c r="B294" s="9" t="s">
        <v>1387</v>
      </c>
      <c r="C294" s="9" t="s">
        <v>17</v>
      </c>
      <c r="D294" s="13" t="s">
        <v>38</v>
      </c>
      <c r="E294" s="10" t="s">
        <v>27</v>
      </c>
      <c r="F294" s="11">
        <v>45946</v>
      </c>
      <c r="G294" s="12" t="s">
        <v>924</v>
      </c>
      <c r="H294" s="12" t="s">
        <v>925</v>
      </c>
      <c r="I294" s="39">
        <v>0</v>
      </c>
      <c r="J294" s="39"/>
      <c r="K294" s="39"/>
      <c r="L294" s="14" t="s">
        <v>926</v>
      </c>
      <c r="M294" s="41" t="s">
        <v>29</v>
      </c>
      <c r="N294" s="16"/>
      <c r="O294" s="15"/>
      <c r="P294" s="17"/>
      <c r="Q294" s="17"/>
      <c r="R294" s="18" t="s">
        <v>702</v>
      </c>
    </row>
    <row r="295" spans="2:18" ht="30" customHeight="1" x14ac:dyDescent="0.45">
      <c r="B295" s="9" t="s">
        <v>1387</v>
      </c>
      <c r="C295" s="9" t="s">
        <v>14</v>
      </c>
      <c r="D295" s="13" t="s">
        <v>30</v>
      </c>
      <c r="E295" s="10" t="s">
        <v>27</v>
      </c>
      <c r="F295" s="11">
        <v>45946</v>
      </c>
      <c r="G295" s="12" t="s">
        <v>927</v>
      </c>
      <c r="H295" s="12" t="s">
        <v>928</v>
      </c>
      <c r="I295" s="39">
        <v>0</v>
      </c>
      <c r="J295" s="39"/>
      <c r="K295" s="39"/>
      <c r="L295" s="14" t="s">
        <v>929</v>
      </c>
      <c r="M295" s="41" t="s">
        <v>29</v>
      </c>
      <c r="N295" s="16"/>
      <c r="O295" s="15"/>
      <c r="P295" s="17"/>
      <c r="Q295" s="17"/>
      <c r="R295" s="18" t="s">
        <v>702</v>
      </c>
    </row>
    <row r="296" spans="2:18" ht="30" customHeight="1" x14ac:dyDescent="0.45">
      <c r="B296" s="9" t="s">
        <v>1387</v>
      </c>
      <c r="C296" s="9" t="s">
        <v>16</v>
      </c>
      <c r="D296" s="13" t="s">
        <v>30</v>
      </c>
      <c r="E296" s="10" t="s">
        <v>27</v>
      </c>
      <c r="F296" s="11">
        <v>45946</v>
      </c>
      <c r="G296" s="12" t="s">
        <v>930</v>
      </c>
      <c r="H296" s="12" t="s">
        <v>931</v>
      </c>
      <c r="I296" s="39">
        <v>0</v>
      </c>
      <c r="J296" s="39"/>
      <c r="K296" s="39"/>
      <c r="L296" s="14" t="s">
        <v>932</v>
      </c>
      <c r="M296" s="41" t="s">
        <v>29</v>
      </c>
      <c r="N296" s="16"/>
      <c r="O296" s="15"/>
      <c r="P296" s="17"/>
      <c r="Q296" s="17"/>
      <c r="R296" s="18" t="s">
        <v>933</v>
      </c>
    </row>
    <row r="297" spans="2:18" ht="30" customHeight="1" x14ac:dyDescent="0.45">
      <c r="B297" s="9" t="s">
        <v>1387</v>
      </c>
      <c r="C297" s="9" t="s">
        <v>16</v>
      </c>
      <c r="D297" s="13" t="s">
        <v>30</v>
      </c>
      <c r="E297" s="10" t="s">
        <v>27</v>
      </c>
      <c r="F297" s="11">
        <v>45946</v>
      </c>
      <c r="G297" s="12" t="s">
        <v>934</v>
      </c>
      <c r="H297" s="12" t="s">
        <v>931</v>
      </c>
      <c r="I297" s="39">
        <v>0</v>
      </c>
      <c r="J297" s="39"/>
      <c r="K297" s="39"/>
      <c r="L297" s="14" t="s">
        <v>935</v>
      </c>
      <c r="M297" s="41" t="s">
        <v>29</v>
      </c>
      <c r="N297" s="16"/>
      <c r="O297" s="15"/>
      <c r="P297" s="17"/>
      <c r="Q297" s="17"/>
      <c r="R297" s="18" t="s">
        <v>702</v>
      </c>
    </row>
    <row r="298" spans="2:18" ht="30" customHeight="1" x14ac:dyDescent="0.45">
      <c r="B298" s="9" t="s">
        <v>1387</v>
      </c>
      <c r="C298" s="9" t="s">
        <v>14</v>
      </c>
      <c r="D298" s="13" t="s">
        <v>30</v>
      </c>
      <c r="E298" s="10" t="s">
        <v>1381</v>
      </c>
      <c r="F298" s="11">
        <v>45946</v>
      </c>
      <c r="G298" s="12" t="s">
        <v>936</v>
      </c>
      <c r="H298" s="12" t="s">
        <v>229</v>
      </c>
      <c r="I298" s="39">
        <v>0</v>
      </c>
      <c r="J298" s="39"/>
      <c r="K298" s="39"/>
      <c r="L298" s="14" t="s">
        <v>937</v>
      </c>
      <c r="M298" s="41" t="s">
        <v>29</v>
      </c>
      <c r="N298" s="16"/>
      <c r="O298" s="15"/>
      <c r="P298" s="17"/>
      <c r="Q298" s="17"/>
      <c r="R298" s="18" t="s">
        <v>938</v>
      </c>
    </row>
    <row r="299" spans="2:18" ht="30" customHeight="1" x14ac:dyDescent="0.45">
      <c r="B299" s="9" t="s">
        <v>1387</v>
      </c>
      <c r="C299" s="9" t="s">
        <v>14</v>
      </c>
      <c r="D299" s="13" t="s">
        <v>110</v>
      </c>
      <c r="E299" s="10" t="s">
        <v>27</v>
      </c>
      <c r="F299" s="11">
        <v>45945</v>
      </c>
      <c r="G299" s="12" t="s">
        <v>949</v>
      </c>
      <c r="H299" s="12" t="s">
        <v>673</v>
      </c>
      <c r="I299" s="40">
        <v>1800</v>
      </c>
      <c r="J299" s="40"/>
      <c r="K299" s="40"/>
      <c r="L299" s="14" t="s">
        <v>950</v>
      </c>
      <c r="M299" s="41" t="s">
        <v>29</v>
      </c>
      <c r="N299" s="16"/>
      <c r="O299" s="15"/>
      <c r="P299" s="17"/>
      <c r="Q299" s="17"/>
      <c r="R299" s="18" t="s">
        <v>951</v>
      </c>
    </row>
    <row r="300" spans="2:18" ht="30" customHeight="1" x14ac:dyDescent="0.45">
      <c r="B300" s="9" t="s">
        <v>1387</v>
      </c>
      <c r="C300" s="9" t="s">
        <v>15</v>
      </c>
      <c r="D300" s="13" t="s">
        <v>30</v>
      </c>
      <c r="E300" s="10" t="s">
        <v>1381</v>
      </c>
      <c r="F300" s="11">
        <v>45945</v>
      </c>
      <c r="G300" s="12" t="s">
        <v>946</v>
      </c>
      <c r="H300" s="12" t="s">
        <v>947</v>
      </c>
      <c r="I300" s="39">
        <v>0</v>
      </c>
      <c r="J300" s="39"/>
      <c r="K300" s="39"/>
      <c r="L300" s="14" t="s">
        <v>948</v>
      </c>
      <c r="M300" s="41" t="s">
        <v>29</v>
      </c>
      <c r="N300" s="16"/>
      <c r="O300" s="15"/>
      <c r="P300" s="17"/>
      <c r="Q300" s="17"/>
      <c r="R300" s="18" t="s">
        <v>31</v>
      </c>
    </row>
    <row r="301" spans="2:18" ht="30" customHeight="1" x14ac:dyDescent="0.45">
      <c r="B301" s="9" t="s">
        <v>1387</v>
      </c>
      <c r="C301" s="9" t="s">
        <v>10</v>
      </c>
      <c r="D301" s="13" t="s">
        <v>30</v>
      </c>
      <c r="E301" s="10" t="s">
        <v>1381</v>
      </c>
      <c r="F301" s="11">
        <v>45945</v>
      </c>
      <c r="G301" s="12" t="s">
        <v>952</v>
      </c>
      <c r="H301" s="12" t="s">
        <v>953</v>
      </c>
      <c r="I301" s="39">
        <v>0</v>
      </c>
      <c r="J301" s="39"/>
      <c r="K301" s="39"/>
      <c r="L301" s="14" t="s">
        <v>954</v>
      </c>
      <c r="M301" s="41" t="s">
        <v>29</v>
      </c>
      <c r="N301" s="16"/>
      <c r="O301" s="15"/>
      <c r="P301" s="17"/>
      <c r="Q301" s="17"/>
      <c r="R301" s="18" t="s">
        <v>31</v>
      </c>
    </row>
    <row r="302" spans="2:18" ht="30" customHeight="1" x14ac:dyDescent="0.45">
      <c r="B302" s="9" t="s">
        <v>1387</v>
      </c>
      <c r="C302" s="9" t="s">
        <v>17</v>
      </c>
      <c r="D302" s="13" t="s">
        <v>110</v>
      </c>
      <c r="E302" s="10" t="s">
        <v>27</v>
      </c>
      <c r="F302" s="11">
        <v>45944</v>
      </c>
      <c r="G302" s="12" t="s">
        <v>955</v>
      </c>
      <c r="H302" s="12" t="s">
        <v>956</v>
      </c>
      <c r="I302" s="39">
        <v>0</v>
      </c>
      <c r="J302" s="39"/>
      <c r="K302" s="39"/>
      <c r="L302" s="14" t="s">
        <v>957</v>
      </c>
      <c r="M302" s="41" t="s">
        <v>29</v>
      </c>
      <c r="N302" s="16"/>
      <c r="O302" s="15"/>
      <c r="P302" s="17"/>
      <c r="Q302" s="17"/>
      <c r="R302" s="18" t="s">
        <v>31</v>
      </c>
    </row>
    <row r="303" spans="2:18" ht="30" customHeight="1" x14ac:dyDescent="0.45">
      <c r="B303" s="9" t="s">
        <v>1387</v>
      </c>
      <c r="C303" s="9" t="s">
        <v>12</v>
      </c>
      <c r="D303" s="13" t="s">
        <v>38</v>
      </c>
      <c r="E303" s="10" t="s">
        <v>27</v>
      </c>
      <c r="F303" s="11">
        <v>45943</v>
      </c>
      <c r="G303" s="12" t="s">
        <v>958</v>
      </c>
      <c r="H303" s="12" t="s">
        <v>959</v>
      </c>
      <c r="I303" s="40">
        <v>44</v>
      </c>
      <c r="J303" s="40"/>
      <c r="K303" s="40"/>
      <c r="L303" s="14" t="s">
        <v>960</v>
      </c>
      <c r="M303" s="41" t="s">
        <v>29</v>
      </c>
      <c r="N303" s="16"/>
      <c r="O303" s="15"/>
      <c r="P303" s="17"/>
      <c r="Q303" s="17"/>
      <c r="R303" s="18" t="s">
        <v>961</v>
      </c>
    </row>
    <row r="304" spans="2:18" ht="30" customHeight="1" x14ac:dyDescent="0.45">
      <c r="B304" s="9" t="s">
        <v>1387</v>
      </c>
      <c r="C304" s="9" t="s">
        <v>14</v>
      </c>
      <c r="D304" s="13" t="s">
        <v>30</v>
      </c>
      <c r="E304" s="10" t="s">
        <v>27</v>
      </c>
      <c r="F304" s="11">
        <v>45943</v>
      </c>
      <c r="G304" s="12" t="s">
        <v>962</v>
      </c>
      <c r="H304" s="12" t="s">
        <v>963</v>
      </c>
      <c r="I304" s="39">
        <v>0</v>
      </c>
      <c r="J304" s="39"/>
      <c r="K304" s="39"/>
      <c r="L304" s="14" t="s">
        <v>964</v>
      </c>
      <c r="M304" s="41" t="s">
        <v>29</v>
      </c>
      <c r="N304" s="16"/>
      <c r="O304" s="15"/>
      <c r="P304" s="17"/>
      <c r="Q304" s="17"/>
      <c r="R304" s="18" t="s">
        <v>702</v>
      </c>
    </row>
    <row r="305" spans="2:18" ht="30" customHeight="1" x14ac:dyDescent="0.45">
      <c r="B305" s="9" t="s">
        <v>1387</v>
      </c>
      <c r="C305" s="9" t="s">
        <v>10</v>
      </c>
      <c r="D305" s="13" t="s">
        <v>110</v>
      </c>
      <c r="E305" s="10" t="s">
        <v>27</v>
      </c>
      <c r="F305" s="11">
        <v>45943</v>
      </c>
      <c r="G305" s="12" t="s">
        <v>965</v>
      </c>
      <c r="H305" s="12" t="s">
        <v>966</v>
      </c>
      <c r="I305" s="39">
        <v>0</v>
      </c>
      <c r="J305" s="39"/>
      <c r="K305" s="39"/>
      <c r="L305" s="14" t="s">
        <v>967</v>
      </c>
      <c r="M305" s="41" t="s">
        <v>29</v>
      </c>
      <c r="N305" s="16"/>
      <c r="O305" s="15"/>
      <c r="P305" s="17"/>
      <c r="Q305" s="17"/>
      <c r="R305" s="18" t="s">
        <v>702</v>
      </c>
    </row>
    <row r="306" spans="2:18" ht="30" customHeight="1" x14ac:dyDescent="0.45">
      <c r="B306" s="9" t="s">
        <v>1387</v>
      </c>
      <c r="C306" s="9" t="s">
        <v>9</v>
      </c>
      <c r="D306" s="13" t="s">
        <v>30</v>
      </c>
      <c r="E306" s="10" t="s">
        <v>27</v>
      </c>
      <c r="F306" s="11">
        <v>45940</v>
      </c>
      <c r="G306" s="12" t="s">
        <v>968</v>
      </c>
      <c r="H306" s="12" t="s">
        <v>969</v>
      </c>
      <c r="I306" s="39">
        <v>0</v>
      </c>
      <c r="J306" s="39"/>
      <c r="K306" s="39"/>
      <c r="L306" s="14" t="s">
        <v>970</v>
      </c>
      <c r="M306" s="41" t="s">
        <v>29</v>
      </c>
      <c r="N306" s="16"/>
      <c r="O306" s="15"/>
      <c r="P306" s="17"/>
      <c r="Q306" s="17"/>
      <c r="R306" s="18" t="s">
        <v>971</v>
      </c>
    </row>
    <row r="307" spans="2:18" ht="30" customHeight="1" x14ac:dyDescent="0.45">
      <c r="B307" s="9" t="s">
        <v>1387</v>
      </c>
      <c r="C307" s="9" t="s">
        <v>15</v>
      </c>
      <c r="D307" s="13" t="s">
        <v>30</v>
      </c>
      <c r="E307" s="10" t="s">
        <v>27</v>
      </c>
      <c r="F307" s="11">
        <v>45940</v>
      </c>
      <c r="G307" s="12" t="s">
        <v>972</v>
      </c>
      <c r="H307" s="12" t="s">
        <v>973</v>
      </c>
      <c r="I307" s="39">
        <v>0</v>
      </c>
      <c r="J307" s="39"/>
      <c r="K307" s="39"/>
      <c r="L307" s="14" t="s">
        <v>974</v>
      </c>
      <c r="M307" s="41" t="s">
        <v>29</v>
      </c>
      <c r="N307" s="16"/>
      <c r="O307" s="15"/>
      <c r="P307" s="17"/>
      <c r="Q307" s="17"/>
      <c r="R307" s="18" t="s">
        <v>702</v>
      </c>
    </row>
    <row r="308" spans="2:18" ht="30" customHeight="1" x14ac:dyDescent="0.45">
      <c r="B308" s="9" t="s">
        <v>1387</v>
      </c>
      <c r="C308" s="9" t="s">
        <v>16</v>
      </c>
      <c r="D308" s="13" t="s">
        <v>977</v>
      </c>
      <c r="E308" s="10" t="s">
        <v>27</v>
      </c>
      <c r="F308" s="11">
        <v>45939</v>
      </c>
      <c r="G308" s="12" t="s">
        <v>975</v>
      </c>
      <c r="H308" s="12" t="s">
        <v>976</v>
      </c>
      <c r="I308" s="39">
        <v>0</v>
      </c>
      <c r="J308" s="39"/>
      <c r="K308" s="39"/>
      <c r="L308" s="14" t="s">
        <v>978</v>
      </c>
      <c r="M308" s="41" t="s">
        <v>29</v>
      </c>
      <c r="N308" s="16"/>
      <c r="O308" s="15"/>
      <c r="P308" s="17"/>
      <c r="Q308" s="17"/>
      <c r="R308" s="18" t="s">
        <v>702</v>
      </c>
    </row>
    <row r="309" spans="2:18" ht="30" customHeight="1" x14ac:dyDescent="0.45">
      <c r="B309" s="9" t="s">
        <v>1387</v>
      </c>
      <c r="C309" s="9" t="s">
        <v>12</v>
      </c>
      <c r="D309" s="13" t="s">
        <v>981</v>
      </c>
      <c r="E309" s="10" t="s">
        <v>27</v>
      </c>
      <c r="F309" s="11">
        <v>45938</v>
      </c>
      <c r="G309" s="12" t="s">
        <v>979</v>
      </c>
      <c r="H309" s="12" t="s">
        <v>980</v>
      </c>
      <c r="I309" s="39">
        <v>0</v>
      </c>
      <c r="J309" s="39"/>
      <c r="K309" s="39"/>
      <c r="L309" s="14" t="s">
        <v>982</v>
      </c>
      <c r="M309" s="41" t="s">
        <v>29</v>
      </c>
      <c r="N309" s="16"/>
      <c r="O309" s="15"/>
      <c r="P309" s="17"/>
      <c r="Q309" s="17"/>
      <c r="R309" s="18" t="s">
        <v>31</v>
      </c>
    </row>
    <row r="310" spans="2:18" ht="30" customHeight="1" x14ac:dyDescent="0.45">
      <c r="B310" s="9" t="s">
        <v>1387</v>
      </c>
      <c r="C310" s="9" t="s">
        <v>9</v>
      </c>
      <c r="D310" s="13" t="s">
        <v>642</v>
      </c>
      <c r="E310" s="10" t="s">
        <v>27</v>
      </c>
      <c r="F310" s="11">
        <v>45938</v>
      </c>
      <c r="G310" s="12" t="s">
        <v>983</v>
      </c>
      <c r="H310" s="12" t="s">
        <v>984</v>
      </c>
      <c r="I310" s="39">
        <v>0</v>
      </c>
      <c r="J310" s="39"/>
      <c r="K310" s="39"/>
      <c r="L310" s="14" t="s">
        <v>985</v>
      </c>
      <c r="M310" s="41" t="s">
        <v>29</v>
      </c>
      <c r="N310" s="16"/>
      <c r="O310" s="15"/>
      <c r="P310" s="17"/>
      <c r="Q310" s="17"/>
      <c r="R310" s="18" t="s">
        <v>702</v>
      </c>
    </row>
    <row r="311" spans="2:18" ht="30" customHeight="1" x14ac:dyDescent="0.45">
      <c r="B311" s="9" t="s">
        <v>1387</v>
      </c>
      <c r="C311" s="9" t="s">
        <v>17</v>
      </c>
      <c r="D311" s="13" t="s">
        <v>110</v>
      </c>
      <c r="E311" s="10" t="s">
        <v>27</v>
      </c>
      <c r="F311" s="11">
        <v>45937</v>
      </c>
      <c r="G311" s="12" t="s">
        <v>989</v>
      </c>
      <c r="H311" s="12" t="s">
        <v>990</v>
      </c>
      <c r="I311" s="40">
        <v>105</v>
      </c>
      <c r="J311" s="40"/>
      <c r="K311" s="40"/>
      <c r="L311" s="14" t="s">
        <v>991</v>
      </c>
      <c r="M311" s="41" t="s">
        <v>29</v>
      </c>
      <c r="N311" s="16"/>
      <c r="O311" s="15"/>
      <c r="P311" s="17"/>
      <c r="Q311" s="17"/>
      <c r="R311" s="18" t="s">
        <v>992</v>
      </c>
    </row>
    <row r="312" spans="2:18" ht="30" customHeight="1" x14ac:dyDescent="0.45">
      <c r="B312" s="9" t="s">
        <v>1387</v>
      </c>
      <c r="C312" s="9" t="s">
        <v>17</v>
      </c>
      <c r="D312" s="13" t="s">
        <v>95</v>
      </c>
      <c r="E312" s="10" t="s">
        <v>27</v>
      </c>
      <c r="F312" s="11">
        <v>45937</v>
      </c>
      <c r="G312" s="12" t="s">
        <v>986</v>
      </c>
      <c r="H312" s="12" t="s">
        <v>987</v>
      </c>
      <c r="I312" s="39">
        <v>0</v>
      </c>
      <c r="J312" s="39"/>
      <c r="K312" s="39"/>
      <c r="L312" s="14" t="s">
        <v>988</v>
      </c>
      <c r="M312" s="41" t="s">
        <v>29</v>
      </c>
      <c r="N312" s="16"/>
      <c r="O312" s="15"/>
      <c r="P312" s="17"/>
      <c r="Q312" s="17"/>
      <c r="R312" s="18" t="s">
        <v>31</v>
      </c>
    </row>
    <row r="313" spans="2:18" ht="30" customHeight="1" x14ac:dyDescent="0.45">
      <c r="B313" s="9" t="s">
        <v>1387</v>
      </c>
      <c r="C313" s="10" t="s">
        <v>14</v>
      </c>
      <c r="D313" s="13" t="s">
        <v>30</v>
      </c>
      <c r="E313" s="10" t="s">
        <v>27</v>
      </c>
      <c r="F313" s="11">
        <v>45937</v>
      </c>
      <c r="G313" s="12" t="s">
        <v>993</v>
      </c>
      <c r="H313" s="13" t="s">
        <v>994</v>
      </c>
      <c r="I313" s="39">
        <v>0</v>
      </c>
      <c r="J313" s="39"/>
      <c r="K313" s="39"/>
      <c r="L313" s="14" t="s">
        <v>995</v>
      </c>
      <c r="M313" s="41" t="s">
        <v>29</v>
      </c>
      <c r="N313" s="16"/>
      <c r="O313" s="15"/>
      <c r="P313" s="17"/>
      <c r="Q313" s="17"/>
      <c r="R313" s="18" t="s">
        <v>702</v>
      </c>
    </row>
    <row r="314" spans="2:18" ht="30" customHeight="1" x14ac:dyDescent="0.45">
      <c r="B314" s="9" t="s">
        <v>1387</v>
      </c>
      <c r="C314" s="10" t="s">
        <v>10</v>
      </c>
      <c r="D314" s="13" t="s">
        <v>95</v>
      </c>
      <c r="E314" s="10" t="s">
        <v>27</v>
      </c>
      <c r="F314" s="11">
        <v>45937</v>
      </c>
      <c r="G314" s="12" t="s">
        <v>996</v>
      </c>
      <c r="H314" s="13" t="s">
        <v>997</v>
      </c>
      <c r="I314" s="39">
        <v>0</v>
      </c>
      <c r="J314" s="39"/>
      <c r="K314" s="39"/>
      <c r="L314" s="14" t="s">
        <v>998</v>
      </c>
      <c r="M314" s="41" t="s">
        <v>29</v>
      </c>
      <c r="N314" s="16"/>
      <c r="O314" s="15"/>
      <c r="P314" s="17"/>
      <c r="Q314" s="17"/>
      <c r="R314" s="18" t="s">
        <v>31</v>
      </c>
    </row>
    <row r="315" spans="2:18" ht="30" customHeight="1" x14ac:dyDescent="0.45">
      <c r="B315" s="9" t="s">
        <v>1387</v>
      </c>
      <c r="C315" s="10" t="s">
        <v>14</v>
      </c>
      <c r="D315" s="13" t="s">
        <v>110</v>
      </c>
      <c r="E315" s="10" t="s">
        <v>27</v>
      </c>
      <c r="F315" s="11">
        <v>45936</v>
      </c>
      <c r="G315" s="12" t="s">
        <v>999</v>
      </c>
      <c r="H315" s="13" t="s">
        <v>1000</v>
      </c>
      <c r="I315" s="39">
        <v>0</v>
      </c>
      <c r="J315" s="39"/>
      <c r="K315" s="39"/>
      <c r="L315" s="14" t="s">
        <v>1001</v>
      </c>
      <c r="M315" s="41" t="s">
        <v>29</v>
      </c>
      <c r="N315" s="16"/>
      <c r="O315" s="15"/>
      <c r="P315" s="17"/>
      <c r="Q315" s="17"/>
      <c r="R315" s="18" t="s">
        <v>702</v>
      </c>
    </row>
    <row r="316" spans="2:18" ht="30" customHeight="1" x14ac:dyDescent="0.45">
      <c r="B316" s="9" t="s">
        <v>1387</v>
      </c>
      <c r="C316" s="10" t="s">
        <v>16</v>
      </c>
      <c r="D316" s="13" t="s">
        <v>30</v>
      </c>
      <c r="E316" s="10" t="s">
        <v>1381</v>
      </c>
      <c r="F316" s="11">
        <v>45936</v>
      </c>
      <c r="G316" s="12" t="s">
        <v>1002</v>
      </c>
      <c r="H316" s="13" t="s">
        <v>1003</v>
      </c>
      <c r="I316" s="39">
        <v>0</v>
      </c>
      <c r="J316" s="39"/>
      <c r="K316" s="39"/>
      <c r="L316" s="14" t="s">
        <v>1004</v>
      </c>
      <c r="M316" s="41" t="s">
        <v>29</v>
      </c>
      <c r="N316" s="16"/>
      <c r="O316" s="15"/>
      <c r="P316" s="17"/>
      <c r="Q316" s="17"/>
      <c r="R316" s="18" t="s">
        <v>702</v>
      </c>
    </row>
    <row r="317" spans="2:18" ht="30" customHeight="1" x14ac:dyDescent="0.45">
      <c r="B317" s="9" t="s">
        <v>1387</v>
      </c>
      <c r="C317" s="10" t="s">
        <v>9</v>
      </c>
      <c r="D317" s="13" t="s">
        <v>30</v>
      </c>
      <c r="E317" s="10" t="s">
        <v>1381</v>
      </c>
      <c r="F317" s="11">
        <v>45933</v>
      </c>
      <c r="G317" s="12" t="s">
        <v>1008</v>
      </c>
      <c r="H317" s="13" t="s">
        <v>1009</v>
      </c>
      <c r="I317" s="40">
        <v>1750</v>
      </c>
      <c r="J317" s="40"/>
      <c r="K317" s="40"/>
      <c r="L317" s="14" t="s">
        <v>1010</v>
      </c>
      <c r="M317" s="41" t="s">
        <v>29</v>
      </c>
      <c r="N317" s="16"/>
      <c r="O317" s="15"/>
      <c r="P317" s="17"/>
      <c r="Q317" s="17"/>
      <c r="R317" s="18" t="s">
        <v>1011</v>
      </c>
    </row>
    <row r="318" spans="2:18" ht="30" customHeight="1" x14ac:dyDescent="0.45">
      <c r="B318" s="9" t="s">
        <v>1387</v>
      </c>
      <c r="C318" s="10" t="s">
        <v>15</v>
      </c>
      <c r="D318" s="13" t="s">
        <v>110</v>
      </c>
      <c r="E318" s="10" t="s">
        <v>27</v>
      </c>
      <c r="F318" s="11">
        <v>45933</v>
      </c>
      <c r="G318" s="12" t="s">
        <v>1005</v>
      </c>
      <c r="H318" s="13" t="s">
        <v>1006</v>
      </c>
      <c r="I318" s="40">
        <v>56</v>
      </c>
      <c r="J318" s="40"/>
      <c r="K318" s="40"/>
      <c r="L318" s="14" t="s">
        <v>1007</v>
      </c>
      <c r="M318" s="41" t="s">
        <v>29</v>
      </c>
      <c r="N318" s="16"/>
      <c r="O318" s="15"/>
      <c r="P318" s="17"/>
      <c r="Q318" s="17"/>
      <c r="R318" s="18" t="s">
        <v>702</v>
      </c>
    </row>
    <row r="319" spans="2:18" ht="30" customHeight="1" x14ac:dyDescent="0.45">
      <c r="B319" s="9" t="s">
        <v>1387</v>
      </c>
      <c r="C319" s="10" t="s">
        <v>12</v>
      </c>
      <c r="D319" s="13" t="s">
        <v>1014</v>
      </c>
      <c r="E319" s="10" t="s">
        <v>27</v>
      </c>
      <c r="F319" s="11">
        <v>45933</v>
      </c>
      <c r="G319" s="12" t="s">
        <v>1012</v>
      </c>
      <c r="H319" s="13" t="s">
        <v>1013</v>
      </c>
      <c r="I319" s="39">
        <v>0</v>
      </c>
      <c r="J319" s="39"/>
      <c r="K319" s="39"/>
      <c r="L319" s="14" t="s">
        <v>1015</v>
      </c>
      <c r="M319" s="41" t="s">
        <v>29</v>
      </c>
      <c r="N319" s="16"/>
      <c r="O319" s="15"/>
      <c r="P319" s="17"/>
      <c r="Q319" s="17"/>
      <c r="R319" s="18" t="s">
        <v>702</v>
      </c>
    </row>
    <row r="320" spans="2:18" ht="30" customHeight="1" x14ac:dyDescent="0.45">
      <c r="B320" s="9" t="s">
        <v>1387</v>
      </c>
      <c r="C320" s="10" t="s">
        <v>17</v>
      </c>
      <c r="D320" s="13" t="s">
        <v>30</v>
      </c>
      <c r="E320" s="10" t="s">
        <v>1381</v>
      </c>
      <c r="F320" s="11">
        <v>45933</v>
      </c>
      <c r="G320" s="12" t="s">
        <v>1016</v>
      </c>
      <c r="H320" s="13" t="s">
        <v>1017</v>
      </c>
      <c r="I320" s="39">
        <v>0</v>
      </c>
      <c r="J320" s="39"/>
      <c r="K320" s="39"/>
      <c r="L320" s="14" t="s">
        <v>1018</v>
      </c>
      <c r="M320" s="41" t="s">
        <v>29</v>
      </c>
      <c r="N320" s="16"/>
      <c r="O320" s="15"/>
      <c r="P320" s="17"/>
      <c r="Q320" s="17"/>
      <c r="R320" s="18" t="s">
        <v>1019</v>
      </c>
    </row>
    <row r="321" spans="1:18" ht="30" customHeight="1" x14ac:dyDescent="0.45">
      <c r="B321" s="9" t="s">
        <v>1387</v>
      </c>
      <c r="C321" s="10" t="s">
        <v>12</v>
      </c>
      <c r="D321" s="13" t="s">
        <v>30</v>
      </c>
      <c r="E321" s="10" t="s">
        <v>1381</v>
      </c>
      <c r="F321" s="11">
        <v>45932</v>
      </c>
      <c r="G321" s="12" t="s">
        <v>1020</v>
      </c>
      <c r="H321" s="13" t="s">
        <v>685</v>
      </c>
      <c r="I321" s="39">
        <v>0</v>
      </c>
      <c r="J321" s="39"/>
      <c r="K321" s="39"/>
      <c r="L321" s="14" t="s">
        <v>1021</v>
      </c>
      <c r="M321" s="41" t="s">
        <v>29</v>
      </c>
      <c r="N321" s="16"/>
      <c r="O321" s="15"/>
      <c r="P321" s="17"/>
      <c r="Q321" s="17"/>
      <c r="R321" s="18" t="s">
        <v>31</v>
      </c>
    </row>
    <row r="322" spans="1:18" ht="30" customHeight="1" x14ac:dyDescent="0.45">
      <c r="B322" s="9" t="s">
        <v>1387</v>
      </c>
      <c r="C322" s="10" t="s">
        <v>16</v>
      </c>
      <c r="D322" s="13" t="s">
        <v>30</v>
      </c>
      <c r="E322" s="10" t="s">
        <v>27</v>
      </c>
      <c r="F322" s="11">
        <v>45932</v>
      </c>
      <c r="G322" s="12" t="s">
        <v>1022</v>
      </c>
      <c r="H322" s="13" t="s">
        <v>1023</v>
      </c>
      <c r="I322" s="39">
        <v>0</v>
      </c>
      <c r="J322" s="39"/>
      <c r="K322" s="39"/>
      <c r="L322" s="14" t="s">
        <v>1024</v>
      </c>
      <c r="M322" s="41" t="s">
        <v>29</v>
      </c>
      <c r="N322" s="16"/>
      <c r="O322" s="15"/>
      <c r="P322" s="17"/>
      <c r="Q322" s="17"/>
      <c r="R322" s="18" t="s">
        <v>31</v>
      </c>
    </row>
    <row r="323" spans="1:18" ht="30" customHeight="1" x14ac:dyDescent="0.45">
      <c r="B323" s="9" t="s">
        <v>1387</v>
      </c>
      <c r="C323" s="10" t="s">
        <v>15</v>
      </c>
      <c r="D323" s="13" t="s">
        <v>30</v>
      </c>
      <c r="E323" s="10" t="s">
        <v>1381</v>
      </c>
      <c r="F323" s="11">
        <v>45932</v>
      </c>
      <c r="G323" s="12" t="s">
        <v>1025</v>
      </c>
      <c r="H323" s="13" t="s">
        <v>1026</v>
      </c>
      <c r="I323" s="39">
        <v>0</v>
      </c>
      <c r="J323" s="39"/>
      <c r="K323" s="39"/>
      <c r="L323" s="14" t="s">
        <v>1027</v>
      </c>
      <c r="M323" s="41" t="s">
        <v>29</v>
      </c>
      <c r="N323" s="16"/>
      <c r="O323" s="15"/>
      <c r="P323" s="17"/>
      <c r="Q323" s="17"/>
      <c r="R323" s="18" t="s">
        <v>1028</v>
      </c>
    </row>
    <row r="324" spans="1:18" ht="30" customHeight="1" x14ac:dyDescent="0.45">
      <c r="B324" s="9" t="s">
        <v>1387</v>
      </c>
      <c r="C324" s="10" t="s">
        <v>12</v>
      </c>
      <c r="D324" s="13" t="s">
        <v>30</v>
      </c>
      <c r="E324" s="10" t="s">
        <v>27</v>
      </c>
      <c r="F324" s="11">
        <v>45932</v>
      </c>
      <c r="G324" s="12" t="s">
        <v>1029</v>
      </c>
      <c r="H324" s="13" t="s">
        <v>1030</v>
      </c>
      <c r="I324" s="39">
        <v>0</v>
      </c>
      <c r="J324" s="39"/>
      <c r="K324" s="39"/>
      <c r="L324" s="14" t="s">
        <v>1031</v>
      </c>
      <c r="M324" s="41" t="s">
        <v>29</v>
      </c>
      <c r="N324" s="16"/>
      <c r="O324" s="15"/>
      <c r="P324" s="17"/>
      <c r="Q324" s="17"/>
      <c r="R324" s="18" t="s">
        <v>31</v>
      </c>
    </row>
    <row r="325" spans="1:18" ht="30" customHeight="1" x14ac:dyDescent="0.45">
      <c r="B325" s="9" t="s">
        <v>1387</v>
      </c>
      <c r="C325" s="10" t="s">
        <v>9</v>
      </c>
      <c r="D325" s="13" t="s">
        <v>30</v>
      </c>
      <c r="E325" s="10" t="s">
        <v>1381</v>
      </c>
      <c r="F325" s="11">
        <v>45931</v>
      </c>
      <c r="G325" s="12" t="s">
        <v>1032</v>
      </c>
      <c r="H325" s="13" t="s">
        <v>1033</v>
      </c>
      <c r="I325" s="39">
        <v>0</v>
      </c>
      <c r="J325" s="39"/>
      <c r="K325" s="39"/>
      <c r="L325" s="14" t="s">
        <v>1034</v>
      </c>
      <c r="M325" s="41" t="s">
        <v>29</v>
      </c>
      <c r="N325" s="16"/>
      <c r="O325" s="15"/>
      <c r="P325" s="17"/>
      <c r="Q325" s="17"/>
      <c r="R325" s="18" t="s">
        <v>702</v>
      </c>
    </row>
    <row r="326" spans="1:18" ht="30" customHeight="1" x14ac:dyDescent="0.45">
      <c r="B326" s="9" t="s">
        <v>1387</v>
      </c>
      <c r="C326" s="10" t="s">
        <v>15</v>
      </c>
      <c r="D326" s="13" t="s">
        <v>30</v>
      </c>
      <c r="E326" s="10" t="s">
        <v>27</v>
      </c>
      <c r="F326" s="11">
        <v>45931</v>
      </c>
      <c r="G326" s="12" t="s">
        <v>1035</v>
      </c>
      <c r="H326" s="13" t="s">
        <v>1023</v>
      </c>
      <c r="I326" s="39">
        <v>0</v>
      </c>
      <c r="J326" s="39"/>
      <c r="K326" s="39"/>
      <c r="L326" s="14" t="s">
        <v>1036</v>
      </c>
      <c r="M326" s="41" t="s">
        <v>29</v>
      </c>
      <c r="N326" s="16"/>
      <c r="O326" s="15"/>
      <c r="P326" s="17"/>
      <c r="Q326" s="17"/>
      <c r="R326" s="18" t="s">
        <v>31</v>
      </c>
    </row>
    <row r="327" spans="1:18" ht="30" customHeight="1" x14ac:dyDescent="0.45">
      <c r="B327" s="9" t="s">
        <v>1387</v>
      </c>
      <c r="C327" s="10" t="s">
        <v>15</v>
      </c>
      <c r="D327" s="13" t="s">
        <v>30</v>
      </c>
      <c r="E327" s="10" t="s">
        <v>27</v>
      </c>
      <c r="F327" s="11">
        <v>45931</v>
      </c>
      <c r="G327" s="12" t="s">
        <v>1037</v>
      </c>
      <c r="H327" s="13" t="s">
        <v>1038</v>
      </c>
      <c r="I327" s="39">
        <v>0</v>
      </c>
      <c r="J327" s="39"/>
      <c r="K327" s="39"/>
      <c r="L327" s="14" t="s">
        <v>1039</v>
      </c>
      <c r="M327" s="46" t="s">
        <v>29</v>
      </c>
      <c r="N327" s="16"/>
      <c r="O327" s="15"/>
      <c r="P327" s="17"/>
      <c r="Q327" s="17"/>
      <c r="R327" s="18" t="s">
        <v>760</v>
      </c>
    </row>
    <row r="328" spans="1:18" ht="30" customHeight="1" x14ac:dyDescent="0.45">
      <c r="B328" s="9" t="s">
        <v>1387</v>
      </c>
      <c r="C328" s="10" t="s">
        <v>12</v>
      </c>
      <c r="D328" s="13" t="s">
        <v>110</v>
      </c>
      <c r="E328" s="10" t="s">
        <v>27</v>
      </c>
      <c r="F328" s="11">
        <v>45931</v>
      </c>
      <c r="G328" s="12" t="s">
        <v>1040</v>
      </c>
      <c r="H328" s="13" t="s">
        <v>1041</v>
      </c>
      <c r="I328" s="39">
        <v>0</v>
      </c>
      <c r="J328" s="39"/>
      <c r="K328" s="39"/>
      <c r="L328" s="14" t="s">
        <v>1042</v>
      </c>
      <c r="M328" s="41" t="s">
        <v>29</v>
      </c>
      <c r="N328" s="16"/>
      <c r="O328" s="15"/>
      <c r="P328" s="17"/>
      <c r="Q328" s="17"/>
      <c r="R328" s="18" t="s">
        <v>31</v>
      </c>
    </row>
    <row r="329" spans="1:18" ht="30" customHeight="1" x14ac:dyDescent="0.45">
      <c r="B329" s="9" t="s">
        <v>1387</v>
      </c>
      <c r="C329" s="10" t="s">
        <v>12</v>
      </c>
      <c r="D329" s="13" t="s">
        <v>30</v>
      </c>
      <c r="E329" s="10" t="s">
        <v>27</v>
      </c>
      <c r="F329" s="11">
        <v>45931</v>
      </c>
      <c r="G329" s="12" t="s">
        <v>1043</v>
      </c>
      <c r="H329" s="13" t="s">
        <v>1044</v>
      </c>
      <c r="I329" s="39">
        <v>0</v>
      </c>
      <c r="J329" s="39"/>
      <c r="K329" s="39"/>
      <c r="L329" s="14" t="s">
        <v>1045</v>
      </c>
      <c r="M329" s="41" t="s">
        <v>29</v>
      </c>
      <c r="N329" s="16"/>
      <c r="O329" s="15"/>
      <c r="P329" s="17"/>
      <c r="Q329" s="17"/>
      <c r="R329" s="18" t="s">
        <v>702</v>
      </c>
    </row>
    <row r="330" spans="1:18" ht="30" customHeight="1" x14ac:dyDescent="0.45">
      <c r="B330" s="9" t="s">
        <v>1387</v>
      </c>
      <c r="C330" s="10" t="s">
        <v>10</v>
      </c>
      <c r="D330" s="13" t="s">
        <v>30</v>
      </c>
      <c r="E330" s="10" t="s">
        <v>1381</v>
      </c>
      <c r="F330" s="11">
        <v>45931</v>
      </c>
      <c r="G330" s="12" t="s">
        <v>1046</v>
      </c>
      <c r="H330" s="13" t="s">
        <v>1047</v>
      </c>
      <c r="I330" s="39">
        <v>0</v>
      </c>
      <c r="J330" s="39"/>
      <c r="K330" s="39"/>
      <c r="L330" s="14" t="s">
        <v>1048</v>
      </c>
      <c r="M330" s="41" t="s">
        <v>29</v>
      </c>
      <c r="N330" s="16"/>
      <c r="O330" s="15"/>
      <c r="P330" s="17"/>
      <c r="Q330" s="17"/>
      <c r="R330" s="18" t="s">
        <v>702</v>
      </c>
    </row>
    <row r="331" spans="1:18" ht="30" customHeight="1" x14ac:dyDescent="0.45">
      <c r="B331" s="9" t="s">
        <v>1387</v>
      </c>
      <c r="C331" s="10" t="s">
        <v>9</v>
      </c>
      <c r="D331" s="13" t="s">
        <v>30</v>
      </c>
      <c r="E331" s="10" t="s">
        <v>1381</v>
      </c>
      <c r="F331" s="11">
        <v>45931</v>
      </c>
      <c r="G331" s="12" t="s">
        <v>1313</v>
      </c>
      <c r="H331" s="13" t="s">
        <v>1314</v>
      </c>
      <c r="I331" s="39">
        <v>0</v>
      </c>
      <c r="J331" s="39"/>
      <c r="K331" s="39"/>
      <c r="L331" s="14" t="s">
        <v>1315</v>
      </c>
      <c r="M331" s="41" t="s">
        <v>29</v>
      </c>
      <c r="N331" s="16"/>
      <c r="O331" s="15"/>
      <c r="P331" s="17"/>
      <c r="Q331" s="17"/>
      <c r="R331" s="18" t="s">
        <v>702</v>
      </c>
    </row>
    <row r="332" spans="1:18" ht="30" customHeight="1" x14ac:dyDescent="0.45">
      <c r="B332" s="9" t="s">
        <v>1387</v>
      </c>
      <c r="C332" s="10" t="s">
        <v>16</v>
      </c>
      <c r="D332" s="13" t="s">
        <v>30</v>
      </c>
      <c r="E332" s="10" t="s">
        <v>27</v>
      </c>
      <c r="F332" s="11">
        <v>45931</v>
      </c>
      <c r="G332" s="12" t="s">
        <v>1049</v>
      </c>
      <c r="H332" s="13" t="s">
        <v>1050</v>
      </c>
      <c r="I332" s="39">
        <v>0</v>
      </c>
      <c r="J332" s="39"/>
      <c r="K332" s="39"/>
      <c r="L332" s="14" t="s">
        <v>1051</v>
      </c>
      <c r="M332" s="41" t="s">
        <v>29</v>
      </c>
      <c r="N332" s="16"/>
      <c r="O332" s="15"/>
      <c r="P332" s="17"/>
      <c r="Q332" s="17"/>
      <c r="R332" s="18" t="s">
        <v>1052</v>
      </c>
    </row>
    <row r="333" spans="1:18" x14ac:dyDescent="0.45">
      <c r="B333" s="19"/>
      <c r="C333" s="19"/>
      <c r="D333" s="19"/>
      <c r="E333" s="20"/>
      <c r="F333" s="20"/>
      <c r="G333" s="21"/>
      <c r="H333" s="22"/>
      <c r="I333" s="23"/>
      <c r="J333" s="23"/>
      <c r="K333" s="23"/>
      <c r="L333" s="24"/>
      <c r="M333" s="25"/>
      <c r="N333" s="27"/>
      <c r="O333" s="26"/>
      <c r="P333" s="28"/>
      <c r="Q333" s="21"/>
    </row>
    <row r="334" spans="1:18" ht="13" customHeight="1" x14ac:dyDescent="0.45">
      <c r="A334" s="1" t="s">
        <v>18</v>
      </c>
      <c r="B334" s="29"/>
      <c r="C334" s="30" t="s">
        <v>27</v>
      </c>
      <c r="D334" s="30"/>
      <c r="G334" s="31" t="s">
        <v>28</v>
      </c>
      <c r="O334" s="32"/>
      <c r="R334" s="33"/>
    </row>
    <row r="335" spans="1:18" x14ac:dyDescent="0.45">
      <c r="B335" s="34"/>
      <c r="C335" s="3" t="e">
        <f>COUNTIFS(#REF!,$A$334,$E:$E,C$334,$C:$C,#REF!)</f>
        <v>#REF!</v>
      </c>
      <c r="G335" s="3" t="e">
        <f>COUNTIFS(#REF!,$A$334,$E:$E,G$334,$C:$C,#REF!)</f>
        <v>#REF!</v>
      </c>
      <c r="O335" s="32"/>
    </row>
    <row r="336" spans="1:18" x14ac:dyDescent="0.45">
      <c r="B336" s="34"/>
      <c r="C336" s="3" t="e">
        <f>COUNTIFS(#REF!,$A$334,$E:$E,C$334,$C:$C,#REF!)</f>
        <v>#REF!</v>
      </c>
      <c r="G336" s="3" t="e">
        <f>COUNTIFS(#REF!,$A$334,$E:$E,G$334,$C:$C,#REF!)</f>
        <v>#REF!</v>
      </c>
      <c r="O336" s="32"/>
    </row>
    <row r="337" spans="2:15" x14ac:dyDescent="0.45">
      <c r="B337" s="34"/>
      <c r="C337" s="3" t="e">
        <f>COUNTIFS(#REF!,$A$334,$E:$E,C$334,$C:$C,#REF!)</f>
        <v>#REF!</v>
      </c>
      <c r="G337" s="3" t="e">
        <f>COUNTIFS(#REF!,$A$334,$E:$E,G$334,$C:$C,#REF!)</f>
        <v>#REF!</v>
      </c>
      <c r="O337" s="32"/>
    </row>
    <row r="338" spans="2:15" x14ac:dyDescent="0.45">
      <c r="B338" s="34"/>
      <c r="C338" s="3" t="e">
        <f>COUNTIFS(#REF!,$A$334,$E:$E,C$334,$C:$C,#REF!)</f>
        <v>#REF!</v>
      </c>
      <c r="G338" s="3" t="e">
        <f>COUNTIFS(#REF!,$A$334,$E:$E,G$334,$C:$C,#REF!)</f>
        <v>#REF!</v>
      </c>
      <c r="O338" s="32"/>
    </row>
    <row r="339" spans="2:15" x14ac:dyDescent="0.45">
      <c r="B339" s="34"/>
      <c r="C339" s="3" t="e">
        <f>COUNTIFS(#REF!,$A$334,$E:$E,C$334,$C:$C,#REF!)</f>
        <v>#REF!</v>
      </c>
      <c r="G339" s="3" t="e">
        <f>COUNTIFS(#REF!,$A$334,$E:$E,G$334,$C:$C,#REF!)</f>
        <v>#REF!</v>
      </c>
      <c r="O339" s="32"/>
    </row>
    <row r="340" spans="2:15" x14ac:dyDescent="0.45">
      <c r="B340" s="34"/>
      <c r="C340" s="3" t="e">
        <f>COUNTIFS(#REF!,$A$334,$E:$E,C$334,$C:$C,#REF!)</f>
        <v>#REF!</v>
      </c>
      <c r="G340" s="3" t="e">
        <f>COUNTIFS(#REF!,$A$334,$E:$E,G$334,$C:$C,#REF!)</f>
        <v>#REF!</v>
      </c>
      <c r="O340" s="32"/>
    </row>
    <row r="341" spans="2:15" x14ac:dyDescent="0.45">
      <c r="B341" s="34"/>
      <c r="C341" s="3" t="e">
        <f>COUNTIFS(#REF!,$A$334,$E:$E,C$334,$C:$C,#REF!)</f>
        <v>#REF!</v>
      </c>
      <c r="G341" s="3" t="e">
        <f>COUNTIFS(#REF!,$A$334,$E:$E,G$334,$C:$C,#REF!)</f>
        <v>#REF!</v>
      </c>
      <c r="O341" s="32"/>
    </row>
    <row r="342" spans="2:15" x14ac:dyDescent="0.45">
      <c r="B342" s="34"/>
      <c r="C342" s="3" t="e">
        <f>COUNTIFS(#REF!,$A$334,$E:$E,C$334,$C:$C,#REF!)</f>
        <v>#REF!</v>
      </c>
      <c r="G342" s="3" t="e">
        <f>COUNTIFS(#REF!,$A$334,$E:$E,G$334,$C:$C,#REF!)</f>
        <v>#REF!</v>
      </c>
      <c r="H342" s="35"/>
      <c r="O342" s="32"/>
    </row>
    <row r="343" spans="2:15" x14ac:dyDescent="0.45">
      <c r="C343" s="1"/>
      <c r="D343" s="1"/>
      <c r="G343" s="3"/>
      <c r="O343" s="32"/>
    </row>
    <row r="346" spans="2:15" x14ac:dyDescent="0.45">
      <c r="B346" s="36"/>
    </row>
    <row r="347" spans="2:15" x14ac:dyDescent="0.45">
      <c r="B347" s="36"/>
    </row>
  </sheetData>
  <autoFilter ref="B3:R332" xr:uid="{A86DB0B2-6FFE-44FF-BA07-5C2E4274293C}">
    <sortState xmlns:xlrd2="http://schemas.microsoft.com/office/spreadsheetml/2017/richdata2" ref="B4:R332">
      <sortCondition descending="1" ref="F3:F332"/>
    </sortState>
  </autoFilter>
  <conditionalFormatting sqref="G333">
    <cfRule type="duplicateValues" dxfId="9" priority="436"/>
    <cfRule type="duplicateValues" dxfId="8" priority="442"/>
  </conditionalFormatting>
  <conditionalFormatting sqref="H198:H212">
    <cfRule type="duplicateValues" dxfId="7" priority="790"/>
    <cfRule type="duplicateValues" dxfId="6" priority="791"/>
    <cfRule type="duplicateValues" dxfId="5" priority="792"/>
  </conditionalFormatting>
  <conditionalFormatting sqref="Q333 G333">
    <cfRule type="duplicateValues" dxfId="4" priority="438"/>
  </conditionalFormatting>
  <conditionalFormatting sqref="G4:G332">
    <cfRule type="duplicateValues" dxfId="0" priority="942"/>
  </conditionalFormatting>
  <dataValidations disablePrompts="1" count="2">
    <dataValidation type="list" allowBlank="1" showInputMessage="1" showErrorMessage="1" sqref="C333:D333 E214:E332" xr:uid="{01EE67EA-15ED-4469-A31C-812E8B1CF9A2}">
      <formula1>#REF!</formula1>
    </dataValidation>
    <dataValidation type="list" allowBlank="1" showInputMessage="1" showErrorMessage="1" sqref="E40:E213" xr:uid="{4F927097-FB25-4E52-A911-122B62CDB55F}">
      <formula1>"Strategic M&amp;A, PE Buyout/Control"</formula1>
    </dataValidation>
  </dataValidations>
  <hyperlinks>
    <hyperlink ref="M213" r:id="rId1" xr:uid="{FCA23180-3CE9-41B0-A282-49B7163B5384}"/>
    <hyperlink ref="M198" r:id="rId2" xr:uid="{BCE0213D-9B52-4660-A291-828B2F7A4395}"/>
    <hyperlink ref="M202" r:id="rId3" xr:uid="{7C4072AA-9BE4-4B3F-91E9-A66A0F9638B8}"/>
    <hyperlink ref="M210" r:id="rId4" xr:uid="{592DD848-1578-41B8-AD2B-C35842228671}"/>
    <hyperlink ref="M201" r:id="rId5" xr:uid="{289B2D3F-4B37-4D81-847C-AA103B225B24}"/>
    <hyperlink ref="M205" r:id="rId6" xr:uid="{7388AB63-8015-4734-96B5-56D948EB8994}"/>
    <hyperlink ref="M206" r:id="rId7" xr:uid="{2EC0B9F7-AF3E-4F7F-AD27-B782C387DFB3}"/>
    <hyperlink ref="M203" r:id="rId8" xr:uid="{B23BCD2E-75AF-4EB9-9C68-2C665D8FBD84}"/>
    <hyperlink ref="M207" r:id="rId9" xr:uid="{FB223AE1-D7D7-4824-9120-5EEAAFD16A6B}"/>
    <hyperlink ref="M194" r:id="rId10" xr:uid="{34982826-49C1-45F7-87ED-40FDADD83C7F}"/>
    <hyperlink ref="M187" r:id="rId11" xr:uid="{8935016B-7B8B-438A-9EBE-A5FAC16C9710}"/>
    <hyperlink ref="M191" r:id="rId12" xr:uid="{A62DE4C1-7682-4CD0-8851-BA917A4E1BB4}"/>
    <hyperlink ref="M193" r:id="rId13" xr:uid="{0DAD6992-BCED-4F8C-97D0-7A2902C95B65}"/>
    <hyperlink ref="M189" r:id="rId14" xr:uid="{E46F761A-892B-4BDA-90A4-7120CBB61A89}"/>
    <hyperlink ref="M180" r:id="rId15" xr:uid="{16E3E2C8-057D-48E1-AEEB-F35F09EE11A3}"/>
    <hyperlink ref="M186" r:id="rId16" xr:uid="{9C203467-C1FD-440D-A513-C615161C0219}"/>
    <hyperlink ref="M178" r:id="rId17" xr:uid="{E4A0C297-92BB-456B-8F04-B85A85E9776E}"/>
    <hyperlink ref="M185" r:id="rId18" xr:uid="{54A99275-5E30-4825-BD92-AB5D7DE98062}"/>
    <hyperlink ref="M181" r:id="rId19" xr:uid="{B3A28E3B-D150-47D0-B11C-9AD4B65098A5}"/>
    <hyperlink ref="M182" r:id="rId20" xr:uid="{AECBDA8D-4876-490E-9F96-3EA3495DDF51}"/>
    <hyperlink ref="M177" r:id="rId21" xr:uid="{7654A739-DA60-4CCA-AF61-D7527751F89C}"/>
    <hyperlink ref="M208" r:id="rId22" xr:uid="{E3DEE516-D89E-47A7-BAAC-9313ED3C766A}"/>
    <hyperlink ref="M173" r:id="rId23" xr:uid="{051B933C-C921-4D3F-8E08-A340E3D073B6}"/>
    <hyperlink ref="M176" r:id="rId24" xr:uid="{8487FB44-35D7-4D4C-A3BF-EA53BD5BD1F2}"/>
    <hyperlink ref="M179" r:id="rId25" xr:uid="{2A9E7224-38C8-40BE-95C7-EE713684DE54}"/>
    <hyperlink ref="M175" r:id="rId26" xr:uid="{3B93DB93-6E44-4FFE-941E-29C058F2D19F}"/>
    <hyperlink ref="M211" r:id="rId27" xr:uid="{A80E0478-3977-4BA1-AF99-381F223A2E69}"/>
    <hyperlink ref="M170" r:id="rId28" xr:uid="{65CC1C06-8E93-45DF-92AB-5087E2757855}"/>
    <hyperlink ref="M171" r:id="rId29" xr:uid="{C904B5D4-6856-490B-ACA8-B9661EE2AC22}"/>
    <hyperlink ref="M164" r:id="rId30" xr:uid="{AD06A1E9-AEF1-434B-81FD-D49C518486BC}"/>
    <hyperlink ref="M168" r:id="rId31" xr:uid="{01633F69-A5C7-4AD2-BC6C-62E59E2731C1}"/>
    <hyperlink ref="M167" r:id="rId32" xr:uid="{FA1B6875-5871-4796-9CE1-1766C1834184}"/>
    <hyperlink ref="M172" r:id="rId33" xr:uid="{71989FE7-D093-4E6D-96CE-B6B33C0D43C5}"/>
    <hyperlink ref="M192" r:id="rId34" xr:uid="{C6B39E9F-8794-4C10-9129-E83D63055FFE}"/>
    <hyperlink ref="M195" r:id="rId35" xr:uid="{26131441-770C-4822-807E-67E57549F983}"/>
    <hyperlink ref="M166" r:id="rId36" xr:uid="{D6665063-B1B4-48F1-8EDE-3F8924F2127D}"/>
    <hyperlink ref="M163" r:id="rId37" xr:uid="{7CFA406F-FC74-442D-A51D-B4D07ABA7110}"/>
    <hyperlink ref="M169" r:id="rId38" xr:uid="{9BB3B487-DB20-4D52-BE2B-92395E375D1B}"/>
    <hyperlink ref="M174" r:id="rId39" xr:uid="{39461D47-5996-4EED-B128-18B739733A9A}"/>
    <hyperlink ref="M154" r:id="rId40" xr:uid="{176DA8AE-216F-49E6-8974-E7CA4C112767}"/>
    <hyperlink ref="M155" r:id="rId41" xr:uid="{BF6E2E4B-8260-46CC-8398-ABD1D4A362F6}"/>
    <hyperlink ref="M160" r:id="rId42" xr:uid="{B73AD15F-4D62-4DE4-A90A-41F7B0FE6DC0}"/>
    <hyperlink ref="M158" r:id="rId43" xr:uid="{3E6D8CB5-9D68-442A-B039-B5EAADC1642D}"/>
    <hyperlink ref="M159" r:id="rId44" xr:uid="{EA2FF646-D8B0-468E-A756-1B1575D2F9EA}"/>
    <hyperlink ref="M162" r:id="rId45" xr:uid="{4B267187-B50F-4330-BAC8-CC5DEF3BA0C7}"/>
    <hyperlink ref="M156" r:id="rId46" xr:uid="{FC469E25-FDA3-44F9-9B66-B10986F233B2}"/>
    <hyperlink ref="M183" r:id="rId47" xr:uid="{303007DB-9090-4A76-8F11-D714A19A081B}"/>
    <hyperlink ref="M199" r:id="rId48" xr:uid="{4E91937A-6D6E-4370-B7B5-C7EBB8C15407}"/>
    <hyperlink ref="M212" r:id="rId49" xr:uid="{C4268B52-46C3-46E4-85DD-DD4DEFCECF99}"/>
    <hyperlink ref="M204" r:id="rId50" xr:uid="{D9BCE3C2-CF03-46B8-8806-AE05FEBD52A1}"/>
    <hyperlink ref="M184" r:id="rId51" xr:uid="{533C81CA-5C01-47D6-A39A-C77C803EF5FC}"/>
    <hyperlink ref="M200" r:id="rId52" xr:uid="{FF1A1296-639C-44F3-843F-FC8C8BA40708}"/>
    <hyperlink ref="M153" r:id="rId53" xr:uid="{F6B09342-D1B8-49B5-8A14-75424AD8A8E7}"/>
    <hyperlink ref="M147" r:id="rId54" xr:uid="{8C503227-99DD-4744-8E9C-3C93D85974AA}"/>
    <hyperlink ref="M151" r:id="rId55" xr:uid="{6CE30DAB-36A9-4FC9-90D7-C2ED597356BB}"/>
    <hyperlink ref="M144" r:id="rId56" xr:uid="{9334E1FC-4160-4E73-AB06-490E97D9765B}"/>
    <hyperlink ref="M148" r:id="rId57" xr:uid="{2EF2EB87-9E43-4186-A34F-541D594711C7}"/>
    <hyperlink ref="M146" r:id="rId58" xr:uid="{D05EC5F1-A5D1-4747-8EF9-16935D1D1F8D}"/>
    <hyperlink ref="M145" r:id="rId59" xr:uid="{89AF4100-8290-49DA-BB7E-9DBF042284F1}"/>
    <hyperlink ref="M143" r:id="rId60" xr:uid="{E2A203EC-4A81-4317-81B4-743E5978AE26}"/>
    <hyperlink ref="M140" r:id="rId61" xr:uid="{A0FF5189-E743-458E-BABE-2872D9E2FEEE}"/>
    <hyperlink ref="M141" r:id="rId62" xr:uid="{32F35E74-FA87-4088-BBB1-98E7604970E0}"/>
    <hyperlink ref="M142" r:id="rId63" xr:uid="{FBCC2209-578D-421B-8AF7-1431950FD71B}"/>
    <hyperlink ref="M132" r:id="rId64" xr:uid="{3768B65F-6D01-465C-A4BE-B509348ECE75}"/>
    <hyperlink ref="M125" r:id="rId65" xr:uid="{B7986951-9156-48F3-9811-D8E71BF34B77}"/>
    <hyperlink ref="M131" r:id="rId66" xr:uid="{BD2512C8-B3E1-4032-A13C-68C4425C1321}"/>
    <hyperlink ref="M130" r:id="rId67" xr:uid="{1C1289AD-9435-40C6-B468-B64B86D6C21F}"/>
    <hyperlink ref="M129" r:id="rId68" xr:uid="{2F7E2DA5-5C57-46F8-9960-B9F79B76BFB5}"/>
    <hyperlink ref="M127" r:id="rId69" xr:uid="{879C269D-B007-47E4-9387-1C5166896E50}"/>
    <hyperlink ref="M126" r:id="rId70" xr:uid="{110070E4-3833-426E-B392-44BF700E8314}"/>
    <hyperlink ref="M135" r:id="rId71" xr:uid="{948BBDFD-EF30-4B4C-A276-F548F2DE22F3}"/>
    <hyperlink ref="M137" r:id="rId72" xr:uid="{9CEF8163-D0A7-43DD-B5EA-A1072DB0E80A}"/>
    <hyperlink ref="M133" r:id="rId73" xr:uid="{BF12200D-7E59-4621-8BAA-EA7428C68170}"/>
    <hyperlink ref="M136" r:id="rId74" xr:uid="{3584C156-8FCB-47D2-8B23-62B468C561E6}"/>
    <hyperlink ref="M121" r:id="rId75" xr:uid="{719E2CC9-B5F2-4271-9B78-A4A572031AE6}"/>
    <hyperlink ref="M124" r:id="rId76" xr:uid="{5CD13A28-AE0A-45A1-B009-84FAD9FDDCE2}"/>
    <hyperlink ref="M118" r:id="rId77" xr:uid="{A7B52FCD-6EC8-4115-8C83-9B10F6A42AF2}"/>
    <hyperlink ref="M123" r:id="rId78" xr:uid="{0F09AF54-EABB-43C1-A3DF-E5863492ACAB}"/>
    <hyperlink ref="M120" r:id="rId79" xr:uid="{E52C4C24-2E13-4B7A-9211-AF24EE1CCD1D}"/>
    <hyperlink ref="M165" r:id="rId80" xr:uid="{4A657E25-D653-4661-BC3A-3C0C83B8DE14}"/>
    <hyperlink ref="M209" r:id="rId81" xr:uid="{1CDABB95-6C86-439C-B084-82B4792A1045}"/>
    <hyperlink ref="M149" r:id="rId82" xr:uid="{7E0BA6AF-2483-4DFC-8A88-8F6BA8A428B5}"/>
    <hyperlink ref="M152" r:id="rId83" xr:uid="{BE57ACF0-76FB-4BE3-894A-C4227CBA0B6C}"/>
    <hyperlink ref="M161" r:id="rId84" xr:uid="{47892917-78A8-43C1-8B8C-33CBE51AB1C6}"/>
    <hyperlink ref="M150" r:id="rId85" xr:uid="{C89851B7-1B57-4564-95E9-C1FC0401C25E}"/>
    <hyperlink ref="M157" r:id="rId86" xr:uid="{D5AFA1AD-4E56-43E8-86EF-B36569507ED4}"/>
    <hyperlink ref="M134" r:id="rId87" xr:uid="{D8555CBC-DDC9-43C3-AEB3-98E202F47F2F}"/>
    <hyperlink ref="M138" r:id="rId88" xr:uid="{D5AB5C63-B581-47CA-9A7F-63AFF835505C}"/>
    <hyperlink ref="M139" r:id="rId89" xr:uid="{E6403C79-E3BC-4115-A931-1C3BB85CA3C7}"/>
    <hyperlink ref="M197" r:id="rId90" xr:uid="{B5DEE3B6-5F9E-43FC-9678-E0651E72C9B4}"/>
    <hyperlink ref="M190" r:id="rId91" xr:uid="{9E953A12-7628-4794-95BB-B03520B4F4EB}"/>
    <hyperlink ref="M117" r:id="rId92" location="timeline" xr:uid="{9F23929D-6E03-494C-9AB6-A11B95612BC5}"/>
    <hyperlink ref="M313" r:id="rId93" xr:uid="{938B99F8-8118-4451-B557-966AD808C454}"/>
    <hyperlink ref="M299" r:id="rId94" xr:uid="{52CE81C3-71F9-4B32-B187-B342F53CCB81}"/>
    <hyperlink ref="M292" r:id="rId95" xr:uid="{8153D396-E965-49CA-A10C-5E7AC057F517}"/>
    <hyperlink ref="M297" r:id="rId96" xr:uid="{CF298B62-2CB2-4D19-852D-338E70163B60}"/>
    <hyperlink ref="M295" r:id="rId97" xr:uid="{9A41ED49-A22B-4434-99FD-EAC886991014}"/>
    <hyperlink ref="M269" r:id="rId98" xr:uid="{FE7D07A8-E3E8-4BF6-ACE3-9C8EB29767CA}"/>
    <hyperlink ref="M262" r:id="rId99" xr:uid="{4D2B666C-FEF6-44A7-B534-0D3D57340570}"/>
    <hyperlink ref="M254" r:id="rId100" xr:uid="{DA55C565-200F-49D6-9573-810D098D621E}"/>
    <hyperlink ref="M260" r:id="rId101" xr:uid="{5D94990D-B637-4190-9D26-C56079081B14}"/>
    <hyperlink ref="M256" r:id="rId102" xr:uid="{19778277-DCD7-4DB4-86CF-BFD73F1C1F70}"/>
    <hyperlink ref="M298" r:id="rId103" xr:uid="{9CC81858-DB69-40E3-ACB9-04384425BD73}"/>
    <hyperlink ref="M267" r:id="rId104" xr:uid="{FE8740A0-297E-4ADD-BDB9-403D47043594}"/>
    <hyperlink ref="M277" r:id="rId105" xr:uid="{1DF32374-39F9-4B75-A95D-6888C47074B6}"/>
    <hyperlink ref="M250" r:id="rId106" xr:uid="{B427776A-6691-47C0-9986-A9C230F352D5}"/>
    <hyperlink ref="M245" r:id="rId107" xr:uid="{14606D75-8C18-415F-85CD-59E3865214BC}"/>
    <hyperlink ref="M244" r:id="rId108" xr:uid="{D65E2955-20A7-4F71-A9C3-4F924BF9CBBC}"/>
    <hyperlink ref="M248" r:id="rId109" xr:uid="{85FA09C8-A0D6-4510-AC43-10FB2F20DB68}"/>
    <hyperlink ref="M264" r:id="rId110" xr:uid="{38B6810D-BFEF-493E-B94B-B54E4AD42093}"/>
    <hyperlink ref="M284" r:id="rId111" xr:uid="{9C7ED1A8-2D4E-4C46-A892-3F8C9A4E65F5}"/>
    <hyperlink ref="M317" r:id="rId112" xr:uid="{9760824D-E14F-46DA-97FA-6E21732C2837}"/>
    <hyperlink ref="M281" r:id="rId113" xr:uid="{392EA173-48BC-4306-A5A8-A48BA940D938}"/>
    <hyperlink ref="M285" r:id="rId114" xr:uid="{9B29AF5F-3BD3-4A0E-9F44-9EB58928B00B}"/>
    <hyperlink ref="M305" r:id="rId115" xr:uid="{0CBD92AB-232B-4773-86FC-10588E4B0F48}"/>
    <hyperlink ref="M290" r:id="rId116" xr:uid="{3BAA7AFA-BB7D-4E7C-8F1A-1947F7C7F600}"/>
    <hyperlink ref="M300" r:id="rId117" xr:uid="{53984023-C8FF-43FC-8555-54D343F51042}"/>
    <hyperlink ref="M327" r:id="rId118" xr:uid="{10DBDC32-1EC4-4F72-9086-98ACD1BE987D}"/>
    <hyperlink ref="M280" r:id="rId119" xr:uid="{4AD93300-1A1A-4406-9F4C-7AAFA814B5B0}"/>
    <hyperlink ref="M306" r:id="rId120" xr:uid="{4AD30510-902A-4F12-96AA-B88AD64E6B47}"/>
    <hyperlink ref="M320" r:id="rId121" xr:uid="{E02901F9-B679-46C8-952B-C628DB8867A4}"/>
    <hyperlink ref="M330" r:id="rId122" xr:uid="{40CF70D8-23B8-4815-90FB-49BB42744B87}"/>
    <hyperlink ref="M314" r:id="rId123" xr:uid="{35AFFA51-DAF4-4789-AECB-E4083E9B21DC}"/>
    <hyperlink ref="M301" r:id="rId124" xr:uid="{252CD1F9-15C8-403A-9122-4096BC6CE3A1}"/>
    <hyperlink ref="M263" r:id="rId125" xr:uid="{7A7C45B8-26B3-4ED5-8FE2-C82D8E7AB792}"/>
    <hyperlink ref="M257" r:id="rId126" xr:uid="{A90C3D99-332A-4BB8-B8C7-058AC8B50141}"/>
    <hyperlink ref="M259" r:id="rId127" xr:uid="{888B1351-9CE2-4F75-BE1C-928CF70D1326}"/>
    <hyperlink ref="M261" r:id="rId128" xr:uid="{030A2985-F3DB-41EE-8273-90719A74A306}"/>
    <hyperlink ref="M266" r:id="rId129" xr:uid="{DCE006A7-5E68-4987-A001-6C4149E1579B}"/>
    <hyperlink ref="M274" r:id="rId130" xr:uid="{A147C5A2-FFE8-4A77-ABBE-0BA049E2B704}"/>
    <hyperlink ref="M289" r:id="rId131" xr:uid="{936CAC30-C61A-49A0-B29C-DF4CF6CDCAA9}"/>
    <hyperlink ref="M286" r:id="rId132" xr:uid="{0AB2F3CF-B08C-41DC-AD7F-A5E42195A44F}"/>
    <hyperlink ref="M272" r:id="rId133" xr:uid="{2CD49B7E-E011-4891-8263-CCB10B8B134A}"/>
    <hyperlink ref="M326" r:id="rId134" xr:uid="{5255C9C8-31A6-4234-95CB-811F6CD9859A}"/>
    <hyperlink ref="M307" r:id="rId135" xr:uid="{DDCCDD2D-A383-43B8-B4A2-FF7478B5D965}"/>
    <hyperlink ref="M318" r:id="rId136" xr:uid="{91689D9F-2676-4391-BD37-CBC3D467B73A}"/>
    <hyperlink ref="M323" r:id="rId137" xr:uid="{A0846330-DCBF-49BB-A6B3-59FEE8B0B8AA}"/>
    <hyperlink ref="M283" r:id="rId138" xr:uid="{C7AE7D7C-9B68-498F-9279-463D856859B0}"/>
    <hyperlink ref="M296" r:id="rId139" xr:uid="{436DE4DB-D0A4-4006-8B59-DBA8CE21EDFF}"/>
    <hyperlink ref="M304" r:id="rId140" xr:uid="{A0B92558-F2AD-4D04-AEEE-BB0C98AADCAF}"/>
    <hyperlink ref="M308" r:id="rId141" xr:uid="{04FCF523-C429-4ABE-BA07-FCC8A1CE26CE}"/>
    <hyperlink ref="M315" r:id="rId142" xr:uid="{CEA58E5D-56A5-4DEE-B888-530550661267}"/>
    <hyperlink ref="M316" r:id="rId143" xr:uid="{13A2DC1B-E367-4486-A430-2F754B87C9E5}"/>
    <hyperlink ref="M268" r:id="rId144" xr:uid="{AA494AB9-065C-40B5-99CC-DAA9BE565BD4}"/>
    <hyperlink ref="M278" r:id="rId145" xr:uid="{3C87EE33-E298-4320-A3C4-E13DBA7F295D}"/>
    <hyperlink ref="M275" r:id="rId146" xr:uid="{346951A2-2496-4B91-BB20-DAC39BF4063C}"/>
    <hyperlink ref="M276" r:id="rId147" xr:uid="{DB9A70E5-0DA1-40D0-8615-14A1CE4E8853}"/>
    <hyperlink ref="M258" r:id="rId148" xr:uid="{4FEDEA6D-D62B-4A02-A9C9-28026712D2E6}"/>
    <hyperlink ref="M282" r:id="rId149" xr:uid="{F8CB572E-008D-450F-9AE5-2444D54FE0D3}"/>
    <hyperlink ref="M287" r:id="rId150" xr:uid="{3BA38912-48F9-4853-99A6-F07F74A8BDBD}"/>
    <hyperlink ref="M310" r:id="rId151" xr:uid="{8DEFE0E9-323D-4E96-B6CA-CE298B98ABC8}"/>
    <hyperlink ref="M325" r:id="rId152" xr:uid="{3F651476-AD31-484E-899E-E35417A6FC9A}"/>
    <hyperlink ref="M329" r:id="rId153" xr:uid="{E1F75002-95A1-45AB-A32A-B61BEF731C81}"/>
    <hyperlink ref="M265" r:id="rId154" xr:uid="{E5AB5DC3-B9D5-45E7-BD8F-8D04BF33E58C}"/>
    <hyperlink ref="M271" r:id="rId155" xr:uid="{44D6446A-5CE4-470D-94EF-C673C7D5DCD6}"/>
    <hyperlink ref="M270" r:id="rId156" xr:uid="{8CFA9E47-4FA8-44B2-AF3F-C20151B21AC0}"/>
    <hyperlink ref="M273" r:id="rId157" xr:uid="{8CDED717-85EC-4275-B0BD-7E4CC7B81B58}"/>
    <hyperlink ref="M279" r:id="rId158" xr:uid="{7269666F-597F-418C-83CD-6C26AC34A011}"/>
    <hyperlink ref="M288" r:id="rId159" xr:uid="{588D7AA9-2951-4323-87E3-0CA2D7E37830}"/>
    <hyperlink ref="M294" r:id="rId160" xr:uid="{87AF6ADC-F075-40EE-B19A-7331DEF5113F}"/>
    <hyperlink ref="M302" r:id="rId161" xr:uid="{0FD1C9C3-DB17-4170-AF2F-C9CC7A305677}"/>
    <hyperlink ref="M303" r:id="rId162" xr:uid="{65FF6942-D284-48DB-BF21-A4F399F4DB9F}"/>
    <hyperlink ref="M309" r:id="rId163" xr:uid="{034CD7BD-ECC3-41C4-8B85-E957AE6636F6}"/>
    <hyperlink ref="M311" r:id="rId164" xr:uid="{A9E9E057-AD84-4921-99EE-4E558040BF7D}"/>
    <hyperlink ref="M321" r:id="rId165" xr:uid="{E7EDD0E9-3A63-4A0B-A1DE-88A9E8BA1218}"/>
    <hyperlink ref="M322" r:id="rId166" xr:uid="{12C11FF1-6AEE-4D0C-820A-CCBCB7920DC6}"/>
    <hyperlink ref="M312" r:id="rId167" xr:uid="{32B3F58F-4131-46EF-BDDE-0C6C8AE12C1B}"/>
    <hyperlink ref="M324" r:id="rId168" xr:uid="{2EB1915C-49A3-4666-8D81-9797C13B3A64}"/>
    <hyperlink ref="M319" r:id="rId169" xr:uid="{67C86E9C-B8FB-4FC2-81D7-82BB8CF3FEB7}"/>
    <hyperlink ref="M241" r:id="rId170" xr:uid="{FBF3B7FD-F2F3-40BD-9155-1142E59DF64E}"/>
    <hyperlink ref="M233" r:id="rId171" xr:uid="{618573D3-728E-49ED-85EE-C6660BEC534D}"/>
    <hyperlink ref="M239" r:id="rId172" xr:uid="{6EA185C1-FC6B-4B8D-9C73-8841974E8098}"/>
    <hyperlink ref="M237" r:id="rId173" xr:uid="{A51BF471-C96F-4A83-9605-479F78527A8E}"/>
    <hyperlink ref="M252" r:id="rId174" xr:uid="{16021FC1-59ED-4358-880F-EC219236987F}"/>
    <hyperlink ref="M234" r:id="rId175" xr:uid="{F368B9F5-A099-4987-91AC-33B658C6C1D2}"/>
    <hyperlink ref="M247" r:id="rId176" xr:uid="{FCCBB4C1-7FA4-4A7C-B06E-53A4BAD13951}"/>
    <hyperlink ref="M226" r:id="rId177" xr:uid="{034E69E8-83E1-4DA6-BAAF-FEB56EEAED3F}"/>
    <hyperlink ref="M238" r:id="rId178" xr:uid="{96ED0CD2-FCED-445A-9FDE-D414D4AB0B48}"/>
    <hyperlink ref="M255" r:id="rId179" xr:uid="{31B3DED9-117A-4ED7-B2C5-95BD74D564AF}"/>
    <hyperlink ref="M225" r:id="rId180" xr:uid="{0AC865A9-75DE-4135-80D4-6157B4A930C8}"/>
    <hyperlink ref="M229" r:id="rId181" xr:uid="{F32D06FA-3800-4067-B019-446ABC17B140}"/>
    <hyperlink ref="M242" r:id="rId182" xr:uid="{F9DAB2C4-AAB8-45D1-A7B6-9940EF8D0BB3}"/>
    <hyperlink ref="M235" r:id="rId183" xr:uid="{94CF6E97-5DA7-4050-B167-0512C7450B89}"/>
    <hyperlink ref="M232" r:id="rId184" xr:uid="{020C0203-92F6-43A5-8B66-C73611BD5BB9}"/>
    <hyperlink ref="M231" r:id="rId185" xr:uid="{178A2170-4217-4088-82F5-BE51E9D3196B}"/>
    <hyperlink ref="M230" r:id="rId186" xr:uid="{4C2DA033-6DFB-45AE-874B-A4CEEEF0D2D2}"/>
    <hyperlink ref="M236" r:id="rId187" xr:uid="{8FF58544-DBF5-4981-8CF0-E02161FF0B2F}"/>
    <hyperlink ref="M253" r:id="rId188" xr:uid="{FD57B180-1CED-4D25-8340-39DAFC81C23D}"/>
    <hyperlink ref="M228" r:id="rId189" xr:uid="{E637D82E-8ED0-4A03-8576-95672D47B919}"/>
    <hyperlink ref="M249" r:id="rId190" xr:uid="{77FFE5BB-4680-4739-931E-DBE49EC7B7FE}"/>
    <hyperlink ref="M240" r:id="rId191" xr:uid="{294B5D1E-A899-4875-B21B-9B1D08D4C9E5}"/>
    <hyperlink ref="M251" r:id="rId192" xr:uid="{D5470BF5-51A5-4065-B0EB-6053928BA302}"/>
    <hyperlink ref="M214" r:id="rId193" xr:uid="{AB3DCBA8-1194-4FF2-9BCC-5D9AAE2CC1B6}"/>
    <hyperlink ref="M218" r:id="rId194" xr:uid="{2DC30E81-B845-43BA-9B4C-F8B262F4F3DC}"/>
    <hyperlink ref="M221" r:id="rId195" xr:uid="{EAB62E3B-D198-4129-BC5D-FDBBB7440D42}"/>
    <hyperlink ref="M216" r:id="rId196" xr:uid="{77CCE39C-3DC7-4069-8D35-34B4430B5F50}"/>
    <hyperlink ref="M217" r:id="rId197" xr:uid="{EA70B555-E496-4F9A-9C75-E91A0982563D}"/>
    <hyperlink ref="M219" r:id="rId198" xr:uid="{947A1F87-A875-4B27-823F-0E729E57ABD5}"/>
    <hyperlink ref="M223" r:id="rId199" xr:uid="{A886DDD9-41A9-4C40-9231-1AA7749CD12C}"/>
    <hyperlink ref="M222" r:id="rId200" xr:uid="{55A74950-512F-4795-B363-50BE218D7A90}"/>
    <hyperlink ref="M224" r:id="rId201" xr:uid="{EA92B953-0521-495D-92F5-A4CF6D2887BB}"/>
    <hyperlink ref="M227" r:id="rId202" xr:uid="{A5D0012B-739D-4738-A056-1081ED869F53}"/>
    <hyperlink ref="M243" r:id="rId203" xr:uid="{EEE61AC5-D105-494E-A42A-902D3F85492D}"/>
    <hyperlink ref="M246" r:id="rId204" xr:uid="{977C4A5F-A3C4-4D9B-8E7D-ECB0CBD9F896}"/>
    <hyperlink ref="M291" r:id="rId205" xr:uid="{C4A894D8-CD31-493D-85C6-29B6C099F13F}"/>
    <hyperlink ref="M119" r:id="rId206" xr:uid="{7F9A1F1A-6488-440A-A859-33AC730033E4}"/>
    <hyperlink ref="M122" r:id="rId207" xr:uid="{93F4748E-D6B5-4B3A-A0E2-FA8EF85A8E39}"/>
    <hyperlink ref="M188" r:id="rId208" xr:uid="{81ACA169-B110-4343-B350-FF23CC2D1EC9}"/>
    <hyperlink ref="M215" r:id="rId209" xr:uid="{5E3C7064-7583-4D2A-BA79-C16FE0DF85D5}"/>
    <hyperlink ref="M331" r:id="rId210" xr:uid="{200DC03E-B21D-49F1-85BA-1A633D406742}"/>
    <hyperlink ref="M105" r:id="rId211" xr:uid="{46FBCC48-BD8C-42A0-9282-3D49260BC7CA}"/>
    <hyperlink ref="M113" r:id="rId212" xr:uid="{D15CDC81-20F9-448F-9348-4E158FD020EC}"/>
    <hyperlink ref="M108" r:id="rId213" xr:uid="{7277E900-4FD5-46B9-946B-531A0A73AC4C}"/>
    <hyperlink ref="M114" r:id="rId214" xr:uid="{2C6BFBAF-6B61-46CE-9622-43C1D8287A27}"/>
    <hyperlink ref="M112" r:id="rId215" xr:uid="{A2785D3A-083D-41DB-BEC6-327E3BFD45D2}"/>
    <hyperlink ref="M110" r:id="rId216" xr:uid="{B314DCE6-96CF-4C4C-9DB1-3119264E7DA3}"/>
    <hyperlink ref="M116" r:id="rId217" xr:uid="{68812C42-77F4-4BB3-BC18-D5B68AD2F0AD}"/>
    <hyperlink ref="M109" r:id="rId218" xr:uid="{3DCC51BE-25B9-4307-B090-B6626E80EA9B}"/>
    <hyperlink ref="M111" r:id="rId219" xr:uid="{69A3A169-CCF5-46B9-B36D-53860F855459}"/>
    <hyperlink ref="M107" r:id="rId220" xr:uid="{DB9DDC07-8600-4545-A5AE-2462289584C5}"/>
    <hyperlink ref="M106" r:id="rId221" xr:uid="{190020F5-4E50-4196-A75C-687A4E5DCF80}"/>
    <hyperlink ref="M115" r:id="rId222" xr:uid="{AEB26631-337E-4468-94CF-8453F2D2B89D}"/>
    <hyperlink ref="M91" r:id="rId223" xr:uid="{34FF8F6C-7A9C-4E52-B462-9BE0A94525A5}"/>
    <hyperlink ref="M92" r:id="rId224" xr:uid="{6E62E203-7DB2-4CC4-AE6D-25C6480B3CBB}"/>
    <hyperlink ref="M93" r:id="rId225" xr:uid="{6E5F7ACA-124D-49EA-AB95-BEAB6710C53A}"/>
    <hyperlink ref="M94" r:id="rId226" xr:uid="{17E9D78B-80DE-414B-BE3F-ACB1D26AF0BF}"/>
    <hyperlink ref="M95" r:id="rId227" xr:uid="{EC49B594-2692-400E-AA8E-1A549BBB2F9E}"/>
    <hyperlink ref="M96" r:id="rId228" xr:uid="{F9178F5F-3C3B-48AB-AFB9-0D0396C7CCA2}"/>
    <hyperlink ref="M97" r:id="rId229" xr:uid="{E7A980B9-31A9-4C88-BCC8-18501F33AA05}"/>
    <hyperlink ref="M98" r:id="rId230" xr:uid="{19446BA0-0A13-493E-8B32-73C896149ED7}"/>
    <hyperlink ref="M99" r:id="rId231" xr:uid="{22CC78B8-2848-456D-A048-B094983EF2B5}"/>
    <hyperlink ref="M100" r:id="rId232" xr:uid="{200BB346-9869-4278-950D-867A978204AB}"/>
    <hyperlink ref="M102" r:id="rId233" xr:uid="{E1C796A7-09C8-4DE3-BA2F-CEB502803CF9}"/>
    <hyperlink ref="M101" r:id="rId234" xr:uid="{B28DDD95-F4AB-4A0E-8624-52F63A88CE83}"/>
    <hyperlink ref="M103" r:id="rId235" xr:uid="{4D981192-E897-4A00-A028-45E913889FCA}"/>
    <hyperlink ref="M104" r:id="rId236" xr:uid="{C4B66B0B-E31C-45EA-8141-4EAA295A0B01}"/>
    <hyperlink ref="M90" r:id="rId237" xr:uid="{B62F2E56-4389-4121-AA35-C0A5C1E501D6}"/>
    <hyperlink ref="M89" r:id="rId238" xr:uid="{3E47E9B4-D62A-4CA7-A84E-019B8E0A66B1}"/>
    <hyperlink ref="M88" r:id="rId239" xr:uid="{1ABDE9DE-160D-4D0C-87A2-14BAECD40771}"/>
    <hyperlink ref="M87" r:id="rId240" xr:uid="{947ACCD6-91F7-4AC7-ABA1-8AEF13478D7E}"/>
    <hyperlink ref="M86" r:id="rId241" xr:uid="{A835CBD8-CDAD-4913-BFD1-F0EA7341B011}"/>
    <hyperlink ref="M85" r:id="rId242" xr:uid="{63125342-133B-42EA-B06A-03730F6CE5FF}"/>
    <hyperlink ref="M84" r:id="rId243" xr:uid="{18DD23E9-51E4-4269-B5CE-24576AB6CEA8}"/>
    <hyperlink ref="M83" r:id="rId244" xr:uid="{9F0C234C-66B0-430E-8A97-46319E21DDAF}"/>
    <hyperlink ref="M70" r:id="rId245" xr:uid="{7B20B547-37E8-4D44-B959-7A065B56262E}"/>
    <hyperlink ref="M71" r:id="rId246" xr:uid="{322BC19A-98E1-4CD0-8052-40E1E6AED6F8}"/>
    <hyperlink ref="M73" r:id="rId247" xr:uid="{08F33A86-A573-49A0-B6EA-CAEAA081DDD1}"/>
    <hyperlink ref="M72" r:id="rId248" xr:uid="{38E34178-D87F-4A84-B543-3A0681C059B4}"/>
    <hyperlink ref="M75" r:id="rId249" xr:uid="{CB82235F-93CB-47AB-9464-DF69ABF98262}"/>
    <hyperlink ref="M79" r:id="rId250" xr:uid="{09F5CA9C-E862-4C4E-AE83-DCEF3DD7AA5B}"/>
    <hyperlink ref="M74" r:id="rId251" xr:uid="{A03DCDC3-D08A-4E3D-A390-15E592282273}"/>
    <hyperlink ref="M77" r:id="rId252" xr:uid="{87992919-FE1D-4389-9761-0025D20B029B}"/>
    <hyperlink ref="M76" r:id="rId253" xr:uid="{0A385448-28EC-49C5-82B8-38CA9ABD6632}"/>
    <hyperlink ref="M78" r:id="rId254" xr:uid="{5B90B5CC-AA82-4A42-8130-D0BE09D014F0}"/>
    <hyperlink ref="M80" r:id="rId255" xr:uid="{95F32B18-0218-47C6-B64C-454DD07FE6F4}"/>
    <hyperlink ref="M81" r:id="rId256" xr:uid="{8E1D08CF-6A58-47E7-B1D6-DDB5CC906EDF}"/>
    <hyperlink ref="M82" r:id="rId257" xr:uid="{28A08F6D-79A4-4628-AE71-84402E08075E}"/>
    <hyperlink ref="M60" r:id="rId258" xr:uid="{92F83532-D7EA-4B37-B8AB-F703228414FA}"/>
    <hyperlink ref="M61" r:id="rId259" xr:uid="{3F00C356-7649-40C8-9FFB-97AE2B5F92A5}"/>
    <hyperlink ref="M62" r:id="rId260" xr:uid="{9B2AB12D-88CF-465A-BA34-AB7F8283D006}"/>
    <hyperlink ref="M63" r:id="rId261" xr:uid="{633CAE67-E8E7-405F-9FFE-461AD921DE8E}"/>
    <hyperlink ref="M64" r:id="rId262" xr:uid="{707B5D0A-5FE2-437F-A77B-1F5BD297EB4B}"/>
    <hyperlink ref="M66" r:id="rId263" xr:uid="{904FB759-2E84-4D1A-BCDE-B0AA0A4E409A}"/>
    <hyperlink ref="M65" r:id="rId264" xr:uid="{A616C5E3-B916-4C1C-8018-0CEAEA002892}"/>
    <hyperlink ref="M67" r:id="rId265" xr:uid="{D8B6C6AE-9C40-4121-9643-9037ADD53EE9}"/>
    <hyperlink ref="M69" r:id="rId266" xr:uid="{3C8F1783-23D4-4639-A14B-C1190EDBB168}"/>
    <hyperlink ref="M68" r:id="rId267" xr:uid="{556DBB5F-63E9-4EAC-90CB-C80A1037ED14}"/>
    <hyperlink ref="M50" r:id="rId268" xr:uid="{5BD86B79-8FB4-442A-A25A-96C85230049A}"/>
    <hyperlink ref="M51:M59" r:id="rId269" display="Link" xr:uid="{959E2B23-6FA1-4C42-B651-C1B10F43EFDE}"/>
    <hyperlink ref="M51" r:id="rId270" xr:uid="{A63223C8-7B9E-4D61-9749-4ED1549AC784}"/>
    <hyperlink ref="M55" r:id="rId271" xr:uid="{00978412-CC2F-410E-B032-89057DEA9998}"/>
    <hyperlink ref="M52" r:id="rId272" xr:uid="{E8CF698D-EE71-4DC6-9ED1-2FF00E3D79BE}"/>
    <hyperlink ref="M53" r:id="rId273" xr:uid="{CA0A2234-06C3-445C-A6AE-10BD854E70A7}"/>
    <hyperlink ref="M54" r:id="rId274" xr:uid="{A08D5E8F-6259-445F-8F0C-B9D67775C8F7}"/>
    <hyperlink ref="M56" r:id="rId275" xr:uid="{D831B963-B8D4-463C-9974-DF3B23768EF8}"/>
    <hyperlink ref="M57" r:id="rId276" xr:uid="{79217640-AAF0-4844-9972-4A6974BB4E6B}"/>
    <hyperlink ref="M58" r:id="rId277" xr:uid="{05F7EABD-FBAB-4ED1-BD9F-057CBCAED45E}"/>
    <hyperlink ref="M59" r:id="rId278" xr:uid="{C47DE68D-6B78-478B-9BB8-4DFA951332B1}"/>
    <hyperlink ref="M44" r:id="rId279" xr:uid="{61D0381B-173D-4F86-8942-7B69BA511AFC}"/>
    <hyperlink ref="M45" r:id="rId280" xr:uid="{31CAF404-483C-4140-A57E-803D3535A43C}"/>
    <hyperlink ref="M46" r:id="rId281" xr:uid="{B1F8C6BA-B0D1-4760-B317-A8700F9E1ED7}"/>
    <hyperlink ref="M47" r:id="rId282" xr:uid="{29732950-A513-4AA2-8575-B86CD9D08A07}"/>
    <hyperlink ref="M48" r:id="rId283" xr:uid="{A1FA6507-3774-43AF-AEFE-CB65037809D9}"/>
    <hyperlink ref="M49" r:id="rId284" xr:uid="{D3C5E709-B121-43D3-A1C9-DF4323931B99}"/>
    <hyperlink ref="M40" r:id="rId285" xr:uid="{3921FBB3-3E26-48C5-A65F-E6ACA9078534}"/>
    <hyperlink ref="M41" r:id="rId286" xr:uid="{40A7E2AD-EAA1-4ED3-8894-F3CAE9639546}"/>
    <hyperlink ref="M42" r:id="rId287" xr:uid="{BEA99DAD-1ADD-4283-856A-98CE7A4D97E6}"/>
    <hyperlink ref="M43" r:id="rId288" xr:uid="{99FFE01A-6944-45BA-AAC2-81FD77F79CBE}"/>
    <hyperlink ref="W65" r:id="rId289" display="https://fintech.global/2026/06/02/insurwave-sells-ai-submission-ingestion-capability-to-portage-ai/?_gl=1*t27xyb*_up*MQ..*_gs*MQ..&amp;gclid=EAIaIQobChMIvvq08u71lAMVjklHAR338zNaEAAYASAAEgJvmfD_BwE" xr:uid="{0FC89B0C-5ADB-4F00-B04E-FFD86B3822E2}"/>
    <hyperlink ref="W62" r:id="rId290" display="https://fintech.global/2026/06/05/ramp-hits-44bn-valuation-with-landmark-series-f/?_gl=1*7s1y6q*_up*MQ..*_gs*MQ..&amp;gclid=EAIaIQobChMIvvq08u71lAMVjklHAR338zNaEAAYASAAEgJvmfD_BwE" xr:uid="{0B88AA63-430B-49DF-89EE-88531277F0F3}"/>
    <hyperlink ref="W66" r:id="rId291" display="https://fintech.global/2026/06/05/honeycomb-insurance-raises-40m-in-zeev-ventures-led-round/?_gl=1*7s1y6q*_up*MQ..*_gs*MQ..&amp;gclid=EAIaIQobChMIvvq08u71lAMVjklHAR338zNaEAAYASAAEgJvmfD_BwE" xr:uid="{B198BB16-AA33-4418-BCEF-B29E65C28288}"/>
    <hyperlink ref="W63" r:id="rId292" display="https://fintech.global/2026/06/04/alphasense-raises-350m-at-7-5bn-valuation/?_gl=1*11v0blw*_up*MQ..*_gs*MQ..&amp;gclid=EAIaIQobChMIvvq08u71lAMVjklHAR338zNaEAAYASAAEgJvmfD_BwE" xr:uid="{471183FD-D676-4A52-B6A7-56A0E2407965}"/>
    <hyperlink ref="W67" r:id="rId293" xr:uid="{42D83F98-3E1C-41A1-872E-BE129DF1ACC5}"/>
    <hyperlink ref="W58" r:id="rId294" xr:uid="{9ACEE19A-31BE-4BA6-AE02-E64422517D13}"/>
    <hyperlink ref="W61" r:id="rId295" xr:uid="{D54B232A-598B-4D30-AD61-7F2E0CB8CE14}"/>
    <hyperlink ref="W57" r:id="rId296" xr:uid="{BA0B9D0C-42D4-4CB7-A571-4D90C909ED6F}"/>
    <hyperlink ref="W64" r:id="rId297" xr:uid="{0AB9F296-0F14-4EE9-BDDE-1796A6BAC607}"/>
    <hyperlink ref="W59" r:id="rId298" xr:uid="{D61A15B2-D8BE-4AF1-AA8E-34503B6785FC}"/>
    <hyperlink ref="M32" r:id="rId299" xr:uid="{56A74313-872A-47EA-AE7C-9054B4C1FE43}"/>
    <hyperlink ref="M34" r:id="rId300" xr:uid="{F1B4BFC6-91C7-4AD1-8CF7-A69573D3AD4C}"/>
    <hyperlink ref="M35" r:id="rId301" xr:uid="{D6DBFA2F-00AD-4C8E-895F-6E7EC40D76B8}"/>
    <hyperlink ref="M36" r:id="rId302" xr:uid="{D4FEE6E8-7511-452E-BBCB-AC8BF0B30479}"/>
    <hyperlink ref="M37" r:id="rId303" xr:uid="{D35295D9-B1B5-49F1-A8FF-8646D514E643}"/>
    <hyperlink ref="M33" r:id="rId304" xr:uid="{E2055AA6-6EC7-40A3-8356-0E6C277E7E71}"/>
    <hyperlink ref="M31" r:id="rId305" xr:uid="{EC578833-A3A8-4C83-A3F6-A7E08422C553}"/>
    <hyperlink ref="M23" r:id="rId306" xr:uid="{3111DC62-D325-4660-8056-00A1C1D3FF58}"/>
    <hyperlink ref="M24" r:id="rId307" xr:uid="{A4400432-1646-4996-9F33-59A72864B1AF}"/>
    <hyperlink ref="M25" r:id="rId308" xr:uid="{7BF78590-4B21-4E68-A13C-67CB9A1CC7A5}"/>
    <hyperlink ref="M26" r:id="rId309" xr:uid="{BA327091-775D-4E1C-BE07-91B62020616D}"/>
    <hyperlink ref="M27" r:id="rId310" xr:uid="{04F94F55-0317-4C20-B043-E3495F99CC7B}"/>
    <hyperlink ref="M28" r:id="rId311" xr:uid="{1A6B48E7-9E10-453D-967A-6B625E791223}"/>
    <hyperlink ref="M29" r:id="rId312" xr:uid="{870EB0D6-94F1-4A86-A047-7B7F1BC8C89A}"/>
    <hyperlink ref="M17" r:id="rId313" xr:uid="{01F4B187-4DB2-4E23-A373-CCD1C277FAB6}"/>
    <hyperlink ref="M18" r:id="rId314" xr:uid="{0ACDCD12-58C2-4C10-AC62-774BB9667C4B}"/>
    <hyperlink ref="M21" r:id="rId315" xr:uid="{9361584B-FB55-4BF6-91AC-C8E05DED5CAB}"/>
    <hyperlink ref="M22" r:id="rId316" xr:uid="{E80D14C9-02DB-4345-B6DB-E781477E55C9}"/>
    <hyperlink ref="M19" r:id="rId317" xr:uid="{7529A4A5-8B29-42ED-928E-082AA4DF88DC}"/>
    <hyperlink ref="M13" r:id="rId318" xr:uid="{00000000-0004-0000-0000-000000000000}"/>
    <hyperlink ref="M14" r:id="rId319" xr:uid="{00000000-0004-0000-0000-000002000000}"/>
    <hyperlink ref="M12" r:id="rId320" xr:uid="{00000000-0004-0000-0000-000000000000}"/>
    <hyperlink ref="M15" r:id="rId321" xr:uid="{00000000-0004-0000-0000-000004000000}"/>
    <hyperlink ref="M6" r:id="rId322" xr:uid="{BABA649C-D2DB-4A15-82DD-F59F88D48239}"/>
    <hyperlink ref="M4" r:id="rId323" xr:uid="{9EC81B42-21A0-4A6F-A174-A8CBDCFA472A}"/>
    <hyperlink ref="M5" r:id="rId324" xr:uid="{9D857AB7-08BF-4603-B818-803A3D37730C}"/>
    <hyperlink ref="M7" r:id="rId325" xr:uid="{59F477FF-0BCF-4381-A561-A8AEC39806C5}"/>
  </hyperlinks>
  <pageMargins left="0.7" right="0.7" top="0.75" bottom="0.75" header="0.3" footer="0.3"/>
  <pageSetup orientation="portrait" r:id="rId326"/>
  <headerFooter>
    <oddFooter>&amp;L_x000D_&amp;1#&amp;"Calibri"&amp;10&amp;K000000 Sensitivity: Public</oddFooter>
  </headerFooter>
  <customProperties>
    <customPr name="UniqueName" r:id="rId327"/>
  </customProperties>
  <legacyDrawing r:id="rId3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DF23-1224-485F-BED3-4C13F8CDDB83}">
  <dimension ref="A3:R329"/>
  <sheetViews>
    <sheetView showGridLines="0" tabSelected="1" zoomScaleNormal="100" workbookViewId="0">
      <pane ySplit="3" topLeftCell="A4" activePane="bottomLeft" state="frozen"/>
      <selection pane="bottomLeft" activeCell="J10" sqref="J10"/>
    </sheetView>
  </sheetViews>
  <sheetFormatPr defaultColWidth="9.1796875" defaultRowHeight="16" outlineLevelCol="1" x14ac:dyDescent="0.45"/>
  <cols>
    <col min="1" max="1" width="2.7265625" style="1" customWidth="1"/>
    <col min="2" max="2" width="12.54296875" style="1" hidden="1" customWidth="1" outlineLevel="1"/>
    <col min="3" max="3" width="14.7265625" style="1" customWidth="1" collapsed="1"/>
    <col min="4" max="4" width="15.26953125" style="1" customWidth="1"/>
    <col min="5" max="5" width="11.7265625" style="1" bestFit="1" customWidth="1"/>
    <col min="6" max="6" width="17.7265625" style="1" customWidth="1"/>
    <col min="7" max="7" width="26.7265625" style="1" customWidth="1"/>
    <col min="8" max="11" width="12.7265625" style="1" customWidth="1"/>
    <col min="12" max="12" width="102.7265625" style="1" customWidth="1"/>
    <col min="13" max="13" width="12.7265625" style="1" customWidth="1"/>
    <col min="14" max="16384" width="9.1796875" style="1"/>
  </cols>
  <sheetData>
    <row r="3" spans="1:13" ht="45" customHeight="1" x14ac:dyDescent="0.45">
      <c r="A3" s="1" t="s">
        <v>18</v>
      </c>
      <c r="B3" s="37" t="s">
        <v>1385</v>
      </c>
      <c r="C3" s="37" t="s">
        <v>11</v>
      </c>
      <c r="D3" s="37" t="s">
        <v>3</v>
      </c>
      <c r="E3" s="37" t="s">
        <v>1446</v>
      </c>
      <c r="F3" s="37" t="s">
        <v>0</v>
      </c>
      <c r="G3" s="37" t="s">
        <v>2</v>
      </c>
      <c r="H3" s="37" t="s">
        <v>5</v>
      </c>
      <c r="I3" s="37" t="s">
        <v>1725</v>
      </c>
      <c r="J3" s="6" t="s">
        <v>22</v>
      </c>
      <c r="K3" s="6" t="s">
        <v>23</v>
      </c>
      <c r="L3" s="37" t="s">
        <v>1</v>
      </c>
      <c r="M3" s="6" t="s">
        <v>6</v>
      </c>
    </row>
    <row r="4" spans="1:13" ht="30" customHeight="1" x14ac:dyDescent="0.45">
      <c r="B4" s="50"/>
      <c r="C4" s="10" t="s">
        <v>14</v>
      </c>
      <c r="D4" s="10" t="s">
        <v>110</v>
      </c>
      <c r="E4" s="10" t="s">
        <v>1946</v>
      </c>
      <c r="F4" s="10" t="s">
        <v>1950</v>
      </c>
      <c r="G4" s="12" t="s">
        <v>1951</v>
      </c>
      <c r="H4" s="40">
        <v>27</v>
      </c>
      <c r="I4" s="15" t="s">
        <v>41</v>
      </c>
      <c r="J4" s="15" t="s">
        <v>41</v>
      </c>
      <c r="K4" s="15" t="s">
        <v>41</v>
      </c>
      <c r="L4" s="14" t="s">
        <v>1964</v>
      </c>
      <c r="M4" s="41" t="s">
        <v>29</v>
      </c>
    </row>
    <row r="5" spans="1:13" ht="30" customHeight="1" x14ac:dyDescent="0.45">
      <c r="B5" s="50"/>
      <c r="C5" s="10" t="s">
        <v>15</v>
      </c>
      <c r="D5" s="10" t="s">
        <v>1972</v>
      </c>
      <c r="E5" s="10" t="s">
        <v>1940</v>
      </c>
      <c r="F5" s="10" t="s">
        <v>1973</v>
      </c>
      <c r="G5" s="12" t="s">
        <v>1977</v>
      </c>
      <c r="H5" s="40">
        <v>85</v>
      </c>
      <c r="I5" s="15" t="s">
        <v>41</v>
      </c>
      <c r="J5" s="15" t="s">
        <v>41</v>
      </c>
      <c r="K5" s="15" t="s">
        <v>41</v>
      </c>
      <c r="L5" s="14" t="s">
        <v>1978</v>
      </c>
      <c r="M5" s="41" t="s">
        <v>29</v>
      </c>
    </row>
    <row r="6" spans="1:13" ht="30" customHeight="1" x14ac:dyDescent="0.45">
      <c r="B6" s="50"/>
      <c r="C6" s="10" t="s">
        <v>15</v>
      </c>
      <c r="D6" s="10" t="s">
        <v>271</v>
      </c>
      <c r="E6" s="10" t="s">
        <v>1945</v>
      </c>
      <c r="F6" s="10" t="s">
        <v>1952</v>
      </c>
      <c r="G6" s="12" t="s">
        <v>1297</v>
      </c>
      <c r="H6" s="40">
        <v>30</v>
      </c>
      <c r="I6" s="40">
        <v>185</v>
      </c>
      <c r="J6" s="15" t="s">
        <v>41</v>
      </c>
      <c r="K6" s="15" t="s">
        <v>41</v>
      </c>
      <c r="L6" s="14" t="s">
        <v>1953</v>
      </c>
      <c r="M6" s="41" t="s">
        <v>29</v>
      </c>
    </row>
    <row r="7" spans="1:13" ht="30" customHeight="1" x14ac:dyDescent="0.45">
      <c r="B7" s="50"/>
      <c r="C7" s="10" t="s">
        <v>16</v>
      </c>
      <c r="D7" s="10" t="s">
        <v>30</v>
      </c>
      <c r="E7" s="10" t="s">
        <v>1945</v>
      </c>
      <c r="F7" s="10" t="s">
        <v>1954</v>
      </c>
      <c r="G7" s="12" t="s">
        <v>1969</v>
      </c>
      <c r="H7" s="40">
        <v>30</v>
      </c>
      <c r="I7" s="15" t="s">
        <v>41</v>
      </c>
      <c r="J7" s="15" t="s">
        <v>41</v>
      </c>
      <c r="K7" s="15" t="s">
        <v>41</v>
      </c>
      <c r="L7" s="14" t="s">
        <v>1965</v>
      </c>
      <c r="M7" s="41" t="s">
        <v>29</v>
      </c>
    </row>
    <row r="8" spans="1:13" ht="30" customHeight="1" x14ac:dyDescent="0.45">
      <c r="B8" s="50"/>
      <c r="C8" s="10" t="s">
        <v>12</v>
      </c>
      <c r="D8" s="10" t="s">
        <v>30</v>
      </c>
      <c r="E8" s="10" t="s">
        <v>1942</v>
      </c>
      <c r="F8" s="10" t="s">
        <v>1974</v>
      </c>
      <c r="G8" s="12" t="s">
        <v>1732</v>
      </c>
      <c r="H8" s="40">
        <v>25</v>
      </c>
      <c r="I8" s="15" t="s">
        <v>41</v>
      </c>
      <c r="J8" s="15" t="s">
        <v>41</v>
      </c>
      <c r="K8" s="15" t="s">
        <v>41</v>
      </c>
      <c r="L8" s="14" t="s">
        <v>1979</v>
      </c>
      <c r="M8" s="41" t="s">
        <v>29</v>
      </c>
    </row>
    <row r="9" spans="1:13" ht="30" customHeight="1" x14ac:dyDescent="0.45">
      <c r="B9" s="50"/>
      <c r="C9" s="10" t="s">
        <v>17</v>
      </c>
      <c r="D9" s="10" t="s">
        <v>30</v>
      </c>
      <c r="E9" s="10" t="s">
        <v>1946</v>
      </c>
      <c r="F9" s="10" t="s">
        <v>1955</v>
      </c>
      <c r="G9" s="12" t="s">
        <v>1971</v>
      </c>
      <c r="H9" s="40">
        <v>180</v>
      </c>
      <c r="I9" s="40">
        <v>325</v>
      </c>
      <c r="J9" s="15">
        <v>11.2</v>
      </c>
      <c r="K9" s="15" t="s">
        <v>41</v>
      </c>
      <c r="L9" s="14" t="s">
        <v>1956</v>
      </c>
      <c r="M9" s="41" t="s">
        <v>29</v>
      </c>
    </row>
    <row r="10" spans="1:13" ht="30" customHeight="1" x14ac:dyDescent="0.45">
      <c r="B10" s="50"/>
      <c r="C10" s="10" t="s">
        <v>17</v>
      </c>
      <c r="D10" s="10" t="s">
        <v>30</v>
      </c>
      <c r="E10" s="10" t="s">
        <v>1945</v>
      </c>
      <c r="F10" s="10" t="s">
        <v>1957</v>
      </c>
      <c r="G10" s="12" t="s">
        <v>1970</v>
      </c>
      <c r="H10" s="40">
        <v>200</v>
      </c>
      <c r="I10" s="15" t="s">
        <v>41</v>
      </c>
      <c r="J10" s="15" t="s">
        <v>41</v>
      </c>
      <c r="K10" s="15" t="s">
        <v>41</v>
      </c>
      <c r="L10" s="14" t="s">
        <v>1966</v>
      </c>
      <c r="M10" s="41" t="s">
        <v>29</v>
      </c>
    </row>
    <row r="11" spans="1:13" ht="30" customHeight="1" x14ac:dyDescent="0.45">
      <c r="B11" s="50"/>
      <c r="C11" s="10" t="s">
        <v>17</v>
      </c>
      <c r="D11" s="10" t="s">
        <v>30</v>
      </c>
      <c r="E11" s="10" t="s">
        <v>1945</v>
      </c>
      <c r="F11" s="10" t="s">
        <v>1975</v>
      </c>
      <c r="G11" s="12" t="s">
        <v>1976</v>
      </c>
      <c r="H11" s="40">
        <v>64</v>
      </c>
      <c r="I11" s="15" t="s">
        <v>41</v>
      </c>
      <c r="J11" s="15" t="s">
        <v>41</v>
      </c>
      <c r="K11" s="15" t="s">
        <v>41</v>
      </c>
      <c r="L11" s="14" t="s">
        <v>1980</v>
      </c>
      <c r="M11" s="41" t="s">
        <v>29</v>
      </c>
    </row>
    <row r="12" spans="1:13" ht="30" customHeight="1" x14ac:dyDescent="0.45">
      <c r="B12" s="50"/>
      <c r="C12" s="9" t="s">
        <v>9</v>
      </c>
      <c r="D12" s="10" t="s">
        <v>110</v>
      </c>
      <c r="E12" s="11" t="s">
        <v>1946</v>
      </c>
      <c r="F12" s="12" t="s">
        <v>1947</v>
      </c>
      <c r="G12" s="12" t="s">
        <v>1452</v>
      </c>
      <c r="H12" s="40">
        <v>388</v>
      </c>
      <c r="I12" s="40" t="s">
        <v>41</v>
      </c>
      <c r="J12" s="40" t="s">
        <v>41</v>
      </c>
      <c r="K12" s="40" t="s">
        <v>41</v>
      </c>
      <c r="L12" s="14" t="s">
        <v>1967</v>
      </c>
      <c r="M12" s="46" t="s">
        <v>29</v>
      </c>
    </row>
    <row r="13" spans="1:13" ht="30" customHeight="1" x14ac:dyDescent="0.45">
      <c r="B13" s="50"/>
      <c r="C13" s="9"/>
      <c r="D13" s="10"/>
      <c r="E13" s="11"/>
      <c r="F13" s="12"/>
      <c r="G13" s="12"/>
      <c r="H13" s="40"/>
      <c r="I13" s="40"/>
      <c r="J13" s="40"/>
      <c r="K13" s="40"/>
      <c r="L13" s="14"/>
      <c r="M13" s="46"/>
    </row>
    <row r="14" spans="1:13" ht="30" customHeight="1" x14ac:dyDescent="0.45">
      <c r="B14" s="50"/>
      <c r="C14" s="10" t="s">
        <v>14</v>
      </c>
      <c r="D14" s="10" t="s">
        <v>30</v>
      </c>
      <c r="E14" s="10">
        <v>46198</v>
      </c>
      <c r="F14" s="10" t="s">
        <v>1898</v>
      </c>
      <c r="G14" s="12" t="s">
        <v>296</v>
      </c>
      <c r="H14" s="40">
        <v>48.5</v>
      </c>
      <c r="I14" s="15" t="s">
        <v>41</v>
      </c>
      <c r="J14" s="15" t="s">
        <v>41</v>
      </c>
      <c r="K14" s="15" t="s">
        <v>41</v>
      </c>
      <c r="L14" s="14" t="s">
        <v>1899</v>
      </c>
      <c r="M14" s="41" t="s">
        <v>29</v>
      </c>
    </row>
    <row r="15" spans="1:13" ht="30" customHeight="1" x14ac:dyDescent="0.45">
      <c r="B15" s="50"/>
      <c r="C15" s="10" t="s">
        <v>15</v>
      </c>
      <c r="D15" s="10" t="s">
        <v>95</v>
      </c>
      <c r="E15" s="10" t="s">
        <v>1897</v>
      </c>
      <c r="F15" s="10" t="s">
        <v>1900</v>
      </c>
      <c r="G15" s="12" t="s">
        <v>1939</v>
      </c>
      <c r="H15" s="40">
        <v>110</v>
      </c>
      <c r="I15" s="15" t="s">
        <v>41</v>
      </c>
      <c r="J15" s="15" t="s">
        <v>41</v>
      </c>
      <c r="K15" s="15" t="s">
        <v>41</v>
      </c>
      <c r="L15" s="14" t="s">
        <v>1901</v>
      </c>
      <c r="M15" s="41" t="s">
        <v>29</v>
      </c>
    </row>
    <row r="16" spans="1:13" ht="30" customHeight="1" x14ac:dyDescent="0.45">
      <c r="B16" s="50"/>
      <c r="C16" s="10" t="s">
        <v>16</v>
      </c>
      <c r="D16" s="10" t="s">
        <v>30</v>
      </c>
      <c r="E16" s="10" t="s">
        <v>1894</v>
      </c>
      <c r="F16" s="10" t="s">
        <v>1895</v>
      </c>
      <c r="G16" s="12" t="s">
        <v>160</v>
      </c>
      <c r="H16" s="40">
        <v>75</v>
      </c>
      <c r="I16" s="40">
        <v>550</v>
      </c>
      <c r="J16" s="15" t="s">
        <v>41</v>
      </c>
      <c r="K16" s="15" t="s">
        <v>41</v>
      </c>
      <c r="L16" s="14" t="s">
        <v>1896</v>
      </c>
      <c r="M16" s="41" t="s">
        <v>29</v>
      </c>
    </row>
    <row r="17" spans="2:18" ht="30" customHeight="1" x14ac:dyDescent="0.45">
      <c r="B17" s="50"/>
      <c r="C17" s="10" t="s">
        <v>12</v>
      </c>
      <c r="D17" s="10" t="s">
        <v>30</v>
      </c>
      <c r="E17" s="10" t="s">
        <v>1894</v>
      </c>
      <c r="F17" s="10" t="s">
        <v>1907</v>
      </c>
      <c r="G17" s="12" t="s">
        <v>1130</v>
      </c>
      <c r="H17" s="40">
        <v>37</v>
      </c>
      <c r="I17" s="15" t="s">
        <v>41</v>
      </c>
      <c r="J17" s="15" t="s">
        <v>41</v>
      </c>
      <c r="K17" s="15" t="s">
        <v>41</v>
      </c>
      <c r="L17" s="14" t="s">
        <v>1908</v>
      </c>
      <c r="M17" s="41" t="s">
        <v>29</v>
      </c>
    </row>
    <row r="18" spans="2:18" ht="30" customHeight="1" x14ac:dyDescent="0.45">
      <c r="B18" s="50"/>
      <c r="C18" s="10" t="s">
        <v>12</v>
      </c>
      <c r="D18" s="10" t="s">
        <v>1836</v>
      </c>
      <c r="E18" s="10" t="s">
        <v>1897</v>
      </c>
      <c r="F18" s="10" t="s">
        <v>1902</v>
      </c>
      <c r="G18" s="12" t="s">
        <v>1903</v>
      </c>
      <c r="H18" s="40">
        <v>60</v>
      </c>
      <c r="I18" s="40">
        <v>385</v>
      </c>
      <c r="J18" s="15" t="s">
        <v>41</v>
      </c>
      <c r="K18" s="15" t="s">
        <v>41</v>
      </c>
      <c r="L18" s="14" t="s">
        <v>1923</v>
      </c>
      <c r="M18" s="41" t="s">
        <v>29</v>
      </c>
    </row>
    <row r="19" spans="2:18" ht="30" customHeight="1" x14ac:dyDescent="0.45">
      <c r="B19" s="50"/>
      <c r="C19" s="10" t="s">
        <v>12</v>
      </c>
      <c r="D19" s="10" t="s">
        <v>30</v>
      </c>
      <c r="E19" s="10" t="s">
        <v>1904</v>
      </c>
      <c r="F19" s="10" t="s">
        <v>1905</v>
      </c>
      <c r="G19" s="12" t="s">
        <v>1109</v>
      </c>
      <c r="H19" s="40">
        <v>60</v>
      </c>
      <c r="I19" s="15" t="s">
        <v>41</v>
      </c>
      <c r="J19" s="15" t="s">
        <v>41</v>
      </c>
      <c r="K19" s="15" t="s">
        <v>41</v>
      </c>
      <c r="L19" s="14" t="s">
        <v>1906</v>
      </c>
      <c r="M19" s="41" t="s">
        <v>29</v>
      </c>
    </row>
    <row r="20" spans="2:18" ht="30" customHeight="1" x14ac:dyDescent="0.45">
      <c r="B20" s="50"/>
      <c r="C20" s="10" t="s">
        <v>17</v>
      </c>
      <c r="D20" s="10" t="s">
        <v>30</v>
      </c>
      <c r="E20" s="10" t="s">
        <v>1909</v>
      </c>
      <c r="F20" s="10" t="s">
        <v>1910</v>
      </c>
      <c r="G20" s="12" t="s">
        <v>1911</v>
      </c>
      <c r="H20" s="40">
        <v>40</v>
      </c>
      <c r="I20" s="15" t="s">
        <v>41</v>
      </c>
      <c r="J20" s="15" t="s">
        <v>41</v>
      </c>
      <c r="K20" s="15" t="s">
        <v>41</v>
      </c>
      <c r="L20" s="14" t="s">
        <v>1924</v>
      </c>
      <c r="M20" s="41" t="s">
        <v>29</v>
      </c>
    </row>
    <row r="21" spans="2:18" ht="30" customHeight="1" x14ac:dyDescent="0.45">
      <c r="B21" s="45"/>
      <c r="C21" s="9" t="s">
        <v>9</v>
      </c>
      <c r="D21" s="10" t="s">
        <v>1893</v>
      </c>
      <c r="E21" s="11" t="s">
        <v>1894</v>
      </c>
      <c r="F21" s="12" t="s">
        <v>1928</v>
      </c>
      <c r="G21" s="12" t="s">
        <v>1929</v>
      </c>
      <c r="H21" s="15" t="s">
        <v>41</v>
      </c>
      <c r="I21" s="40" t="s">
        <v>41</v>
      </c>
      <c r="J21" s="40" t="s">
        <v>41</v>
      </c>
      <c r="K21" s="40" t="s">
        <v>41</v>
      </c>
      <c r="L21" s="14" t="s">
        <v>1930</v>
      </c>
      <c r="M21" s="46" t="s">
        <v>29</v>
      </c>
      <c r="N21" s="16"/>
      <c r="O21" s="15"/>
      <c r="P21" s="17"/>
      <c r="Q21" s="17"/>
      <c r="R21" s="18"/>
    </row>
    <row r="22" spans="2:18" ht="30" customHeight="1" x14ac:dyDescent="0.45">
      <c r="B22" s="50"/>
      <c r="C22" s="10" t="s">
        <v>9</v>
      </c>
      <c r="D22" s="10" t="s">
        <v>30</v>
      </c>
      <c r="E22" s="10">
        <v>46197</v>
      </c>
      <c r="F22" s="10" t="s">
        <v>1922</v>
      </c>
      <c r="G22" s="12" t="s">
        <v>1937</v>
      </c>
      <c r="H22" s="15" t="s">
        <v>41</v>
      </c>
      <c r="I22" s="15" t="s">
        <v>41</v>
      </c>
      <c r="J22" s="15" t="s">
        <v>41</v>
      </c>
      <c r="K22" s="15" t="s">
        <v>41</v>
      </c>
      <c r="L22" s="14" t="s">
        <v>1938</v>
      </c>
      <c r="M22" s="41" t="s">
        <v>29</v>
      </c>
    </row>
    <row r="23" spans="2:18" ht="30" customHeight="1" x14ac:dyDescent="0.45">
      <c r="B23" s="50"/>
      <c r="C23" s="10" t="s">
        <v>9</v>
      </c>
      <c r="D23" s="10" t="s">
        <v>99</v>
      </c>
      <c r="E23" s="10">
        <v>46199</v>
      </c>
      <c r="F23" s="10" t="s">
        <v>569</v>
      </c>
      <c r="G23" s="12" t="s">
        <v>1912</v>
      </c>
      <c r="H23" s="40">
        <v>550</v>
      </c>
      <c r="I23" s="40">
        <v>6300</v>
      </c>
      <c r="J23" s="15">
        <v>6.9</v>
      </c>
      <c r="K23" s="15" t="s">
        <v>41</v>
      </c>
      <c r="L23" s="14" t="s">
        <v>1925</v>
      </c>
      <c r="M23" s="41" t="s">
        <v>29</v>
      </c>
    </row>
    <row r="24" spans="2:18" ht="30" customHeight="1" x14ac:dyDescent="0.45">
      <c r="B24" s="50"/>
      <c r="C24" s="10" t="s">
        <v>10</v>
      </c>
      <c r="D24" s="10" t="s">
        <v>36</v>
      </c>
      <c r="E24" s="10" t="s">
        <v>1894</v>
      </c>
      <c r="F24" s="10" t="s">
        <v>1913</v>
      </c>
      <c r="G24" s="12" t="s">
        <v>1914</v>
      </c>
      <c r="H24" s="40">
        <v>900</v>
      </c>
      <c r="I24" s="40">
        <v>4500</v>
      </c>
      <c r="J24" s="15">
        <v>13.8</v>
      </c>
      <c r="K24" s="15" t="s">
        <v>41</v>
      </c>
      <c r="L24" s="14" t="s">
        <v>1926</v>
      </c>
      <c r="M24" s="41" t="s">
        <v>29</v>
      </c>
    </row>
    <row r="25" spans="2:18" ht="30" customHeight="1" x14ac:dyDescent="0.45">
      <c r="B25" s="50"/>
      <c r="C25" s="10" t="s">
        <v>10</v>
      </c>
      <c r="D25" s="10" t="s">
        <v>30</v>
      </c>
      <c r="E25" s="10" t="s">
        <v>1904</v>
      </c>
      <c r="F25" s="10" t="s">
        <v>164</v>
      </c>
      <c r="G25" s="12" t="s">
        <v>1080</v>
      </c>
      <c r="H25" s="40">
        <v>320</v>
      </c>
      <c r="I25" s="40">
        <v>11000</v>
      </c>
      <c r="J25" s="15">
        <v>8.5</v>
      </c>
      <c r="K25" s="15" t="s">
        <v>41</v>
      </c>
      <c r="L25" s="14" t="s">
        <v>1915</v>
      </c>
      <c r="M25" s="41" t="s">
        <v>29</v>
      </c>
    </row>
    <row r="26" spans="2:18" ht="30" customHeight="1" x14ac:dyDescent="0.45">
      <c r="B26" s="50"/>
      <c r="C26" s="10" t="s">
        <v>19</v>
      </c>
      <c r="D26" s="10" t="s">
        <v>36</v>
      </c>
      <c r="E26" s="10" t="s">
        <v>1909</v>
      </c>
      <c r="F26" s="10" t="s">
        <v>1916</v>
      </c>
      <c r="G26" s="12" t="s">
        <v>1917</v>
      </c>
      <c r="H26" s="40">
        <v>95</v>
      </c>
      <c r="I26" s="40">
        <v>1000</v>
      </c>
      <c r="J26" s="15">
        <v>4.5</v>
      </c>
      <c r="K26" s="15">
        <v>53.8</v>
      </c>
      <c r="L26" s="14" t="s">
        <v>1927</v>
      </c>
      <c r="M26" s="41" t="s">
        <v>29</v>
      </c>
    </row>
    <row r="27" spans="2:18" ht="30" customHeight="1" x14ac:dyDescent="0.45">
      <c r="B27" s="50"/>
      <c r="C27" s="10"/>
      <c r="D27" s="10"/>
      <c r="E27" s="10"/>
      <c r="F27" s="10"/>
      <c r="G27" s="12"/>
      <c r="H27" s="40"/>
      <c r="I27" s="40"/>
      <c r="J27" s="15"/>
      <c r="K27" s="15"/>
      <c r="L27" s="14"/>
      <c r="M27" s="41"/>
    </row>
    <row r="28" spans="2:18" ht="30" customHeight="1" x14ac:dyDescent="0.45">
      <c r="B28" s="50"/>
      <c r="C28" s="10" t="s">
        <v>14</v>
      </c>
      <c r="D28" s="10" t="s">
        <v>182</v>
      </c>
      <c r="E28" s="10" t="s">
        <v>1852</v>
      </c>
      <c r="F28" s="10" t="s">
        <v>1863</v>
      </c>
      <c r="G28" s="12" t="s">
        <v>1864</v>
      </c>
      <c r="H28" s="40">
        <v>29</v>
      </c>
      <c r="I28" s="40">
        <v>230</v>
      </c>
      <c r="J28" s="15" t="s">
        <v>41</v>
      </c>
      <c r="K28" s="15" t="s">
        <v>41</v>
      </c>
      <c r="L28" s="14" t="s">
        <v>1885</v>
      </c>
      <c r="M28" s="41" t="s">
        <v>29</v>
      </c>
    </row>
    <row r="29" spans="2:18" ht="30" customHeight="1" x14ac:dyDescent="0.45">
      <c r="B29" s="50"/>
      <c r="C29" s="10" t="s">
        <v>15</v>
      </c>
      <c r="D29" s="10" t="s">
        <v>1617</v>
      </c>
      <c r="E29" s="10" t="s">
        <v>1865</v>
      </c>
      <c r="F29" s="10" t="s">
        <v>1866</v>
      </c>
      <c r="G29" s="12" t="s">
        <v>1867</v>
      </c>
      <c r="H29" s="40">
        <v>400</v>
      </c>
      <c r="I29" s="40">
        <v>1600</v>
      </c>
      <c r="J29" s="15" t="s">
        <v>41</v>
      </c>
      <c r="K29" s="15" t="s">
        <v>41</v>
      </c>
      <c r="L29" s="14" t="s">
        <v>1884</v>
      </c>
      <c r="M29" s="41" t="s">
        <v>29</v>
      </c>
    </row>
    <row r="30" spans="2:18" ht="30" customHeight="1" x14ac:dyDescent="0.45">
      <c r="B30" s="50"/>
      <c r="C30" s="10" t="s">
        <v>16</v>
      </c>
      <c r="D30" s="10" t="s">
        <v>30</v>
      </c>
      <c r="E30" s="10" t="s">
        <v>1849</v>
      </c>
      <c r="F30" s="10" t="s">
        <v>1868</v>
      </c>
      <c r="G30" s="12" t="s">
        <v>947</v>
      </c>
      <c r="H30" s="40">
        <v>140</v>
      </c>
      <c r="I30" s="15" t="s">
        <v>41</v>
      </c>
      <c r="J30" s="15" t="s">
        <v>41</v>
      </c>
      <c r="K30" s="15" t="s">
        <v>41</v>
      </c>
      <c r="L30" s="14" t="s">
        <v>1869</v>
      </c>
      <c r="M30" s="41" t="s">
        <v>29</v>
      </c>
    </row>
    <row r="31" spans="2:18" ht="30" customHeight="1" x14ac:dyDescent="0.45">
      <c r="B31" s="50"/>
      <c r="C31" s="10" t="s">
        <v>12</v>
      </c>
      <c r="D31" s="10" t="s">
        <v>133</v>
      </c>
      <c r="E31" s="10" t="s">
        <v>1857</v>
      </c>
      <c r="F31" s="10" t="s">
        <v>1879</v>
      </c>
      <c r="G31" s="12" t="s">
        <v>1880</v>
      </c>
      <c r="H31" s="40">
        <v>50</v>
      </c>
      <c r="I31" s="15" t="s">
        <v>41</v>
      </c>
      <c r="J31" s="15" t="s">
        <v>41</v>
      </c>
      <c r="K31" s="15" t="s">
        <v>41</v>
      </c>
      <c r="L31" s="14" t="s">
        <v>1881</v>
      </c>
      <c r="M31" s="41" t="s">
        <v>29</v>
      </c>
    </row>
    <row r="32" spans="2:18" ht="30" customHeight="1" x14ac:dyDescent="0.45">
      <c r="B32" s="50"/>
      <c r="C32" s="10" t="s">
        <v>17</v>
      </c>
      <c r="D32" s="10" t="s">
        <v>30</v>
      </c>
      <c r="E32" s="10" t="s">
        <v>1857</v>
      </c>
      <c r="F32" s="10" t="s">
        <v>1308</v>
      </c>
      <c r="G32" s="12" t="s">
        <v>1870</v>
      </c>
      <c r="H32" s="40">
        <v>175</v>
      </c>
      <c r="I32" s="15" t="s">
        <v>41</v>
      </c>
      <c r="J32" s="15" t="s">
        <v>41</v>
      </c>
      <c r="K32" s="15" t="s">
        <v>41</v>
      </c>
      <c r="L32" s="14" t="s">
        <v>1871</v>
      </c>
      <c r="M32" s="41" t="s">
        <v>29</v>
      </c>
    </row>
    <row r="33" spans="2:13" ht="30" customHeight="1" x14ac:dyDescent="0.45">
      <c r="B33" s="50"/>
      <c r="C33" s="10" t="s">
        <v>9</v>
      </c>
      <c r="D33" s="10" t="s">
        <v>30</v>
      </c>
      <c r="E33" s="10" t="s">
        <v>1854</v>
      </c>
      <c r="F33" s="10" t="s">
        <v>1872</v>
      </c>
      <c r="G33" s="12" t="s">
        <v>1873</v>
      </c>
      <c r="H33" s="40">
        <v>40</v>
      </c>
      <c r="I33" s="15" t="s">
        <v>41</v>
      </c>
      <c r="J33" s="15" t="s">
        <v>41</v>
      </c>
      <c r="K33" s="15" t="s">
        <v>41</v>
      </c>
      <c r="L33" s="14" t="s">
        <v>1874</v>
      </c>
      <c r="M33" s="41" t="s">
        <v>29</v>
      </c>
    </row>
    <row r="34" spans="2:13" ht="30" customHeight="1" x14ac:dyDescent="0.45">
      <c r="B34" s="50"/>
      <c r="C34" s="10" t="s">
        <v>10</v>
      </c>
      <c r="D34" s="10" t="s">
        <v>30</v>
      </c>
      <c r="E34" s="10" t="s">
        <v>1876</v>
      </c>
      <c r="F34" s="10" t="s">
        <v>1877</v>
      </c>
      <c r="G34" s="12" t="s">
        <v>1892</v>
      </c>
      <c r="H34" s="40">
        <v>50</v>
      </c>
      <c r="I34" s="15" t="s">
        <v>41</v>
      </c>
      <c r="J34" s="15" t="s">
        <v>41</v>
      </c>
      <c r="K34" s="15" t="s">
        <v>41</v>
      </c>
      <c r="L34" s="14" t="s">
        <v>1878</v>
      </c>
      <c r="M34" s="41" t="s">
        <v>29</v>
      </c>
    </row>
    <row r="35" spans="2:13" ht="30" customHeight="1" x14ac:dyDescent="0.45">
      <c r="B35" s="50"/>
      <c r="C35" s="10" t="s">
        <v>10</v>
      </c>
      <c r="D35" s="10" t="s">
        <v>30</v>
      </c>
      <c r="E35" s="10" t="s">
        <v>1849</v>
      </c>
      <c r="F35" s="10" t="s">
        <v>56</v>
      </c>
      <c r="G35" s="12" t="s">
        <v>812</v>
      </c>
      <c r="H35" s="15" t="s">
        <v>41</v>
      </c>
      <c r="I35" s="40">
        <v>3200</v>
      </c>
      <c r="J35" s="15" t="s">
        <v>41</v>
      </c>
      <c r="K35" s="15" t="s">
        <v>41</v>
      </c>
      <c r="L35" s="14" t="s">
        <v>1875</v>
      </c>
      <c r="M35" s="41" t="s">
        <v>29</v>
      </c>
    </row>
    <row r="36" spans="2:13" ht="30" customHeight="1" x14ac:dyDescent="0.45">
      <c r="B36" s="50"/>
      <c r="C36" s="10" t="s">
        <v>10</v>
      </c>
      <c r="D36" s="10" t="s">
        <v>30</v>
      </c>
      <c r="E36" s="10" t="s">
        <v>1857</v>
      </c>
      <c r="F36" s="10" t="s">
        <v>1882</v>
      </c>
      <c r="G36" s="12" t="s">
        <v>1824</v>
      </c>
      <c r="H36" s="40">
        <v>32</v>
      </c>
      <c r="I36" s="15" t="s">
        <v>41</v>
      </c>
      <c r="J36" s="15" t="s">
        <v>41</v>
      </c>
      <c r="K36" s="15" t="s">
        <v>41</v>
      </c>
      <c r="L36" s="14" t="s">
        <v>1883</v>
      </c>
      <c r="M36" s="41" t="s">
        <v>29</v>
      </c>
    </row>
    <row r="37" spans="2:13" ht="30" customHeight="1" x14ac:dyDescent="0.45">
      <c r="B37" s="45"/>
      <c r="C37" s="10"/>
      <c r="D37" s="10"/>
      <c r="E37" s="10"/>
      <c r="F37" s="10"/>
      <c r="G37" s="12"/>
      <c r="H37" s="40"/>
      <c r="I37" s="15"/>
      <c r="J37" s="15"/>
      <c r="K37" s="15"/>
      <c r="L37" s="14"/>
      <c r="M37" s="41"/>
    </row>
    <row r="38" spans="2:13" ht="30" customHeight="1" x14ac:dyDescent="0.45">
      <c r="B38" s="45" t="s">
        <v>1842</v>
      </c>
      <c r="C38" s="10" t="s">
        <v>14</v>
      </c>
      <c r="D38" s="10" t="s">
        <v>30</v>
      </c>
      <c r="E38" s="10" t="s">
        <v>1805</v>
      </c>
      <c r="F38" s="10" t="s">
        <v>1818</v>
      </c>
      <c r="G38" s="12" t="s">
        <v>1819</v>
      </c>
      <c r="H38" s="40">
        <v>50</v>
      </c>
      <c r="I38" s="15" t="s">
        <v>41</v>
      </c>
      <c r="J38" s="15" t="s">
        <v>41</v>
      </c>
      <c r="K38" s="15" t="s">
        <v>41</v>
      </c>
      <c r="L38" s="14" t="s">
        <v>1663</v>
      </c>
      <c r="M38" s="41" t="s">
        <v>29</v>
      </c>
    </row>
    <row r="39" spans="2:13" ht="30" customHeight="1" x14ac:dyDescent="0.45">
      <c r="B39" s="45" t="s">
        <v>1842</v>
      </c>
      <c r="C39" s="10" t="s">
        <v>15</v>
      </c>
      <c r="D39" s="10" t="s">
        <v>30</v>
      </c>
      <c r="E39" s="10" t="s">
        <v>1814</v>
      </c>
      <c r="F39" s="10" t="s">
        <v>1820</v>
      </c>
      <c r="G39" s="12" t="s">
        <v>1821</v>
      </c>
      <c r="H39" s="40">
        <v>80</v>
      </c>
      <c r="I39" s="40">
        <v>1500</v>
      </c>
      <c r="J39" s="15" t="s">
        <v>41</v>
      </c>
      <c r="K39" s="15" t="s">
        <v>41</v>
      </c>
      <c r="L39" s="14" t="s">
        <v>1822</v>
      </c>
      <c r="M39" s="41" t="s">
        <v>29</v>
      </c>
    </row>
    <row r="40" spans="2:13" ht="30" customHeight="1" x14ac:dyDescent="0.45">
      <c r="B40" s="45" t="s">
        <v>1842</v>
      </c>
      <c r="C40" s="10" t="s">
        <v>15</v>
      </c>
      <c r="D40" s="10" t="s">
        <v>30</v>
      </c>
      <c r="E40" s="10" t="s">
        <v>1799</v>
      </c>
      <c r="F40" s="10" t="s">
        <v>1823</v>
      </c>
      <c r="G40" s="12" t="s">
        <v>1824</v>
      </c>
      <c r="H40" s="40">
        <v>29.2</v>
      </c>
      <c r="I40" s="15" t="s">
        <v>41</v>
      </c>
      <c r="J40" s="15" t="s">
        <v>41</v>
      </c>
      <c r="K40" s="15" t="s">
        <v>41</v>
      </c>
      <c r="L40" s="14" t="s">
        <v>1825</v>
      </c>
      <c r="M40" s="41" t="s">
        <v>29</v>
      </c>
    </row>
    <row r="41" spans="2:13" ht="30" customHeight="1" x14ac:dyDescent="0.45">
      <c r="B41" s="45" t="s">
        <v>1842</v>
      </c>
      <c r="C41" s="10" t="s">
        <v>16</v>
      </c>
      <c r="D41" s="10" t="s">
        <v>30</v>
      </c>
      <c r="E41" s="10" t="s">
        <v>1805</v>
      </c>
      <c r="F41" s="10" t="s">
        <v>1826</v>
      </c>
      <c r="G41" s="12" t="s">
        <v>1827</v>
      </c>
      <c r="H41" s="40">
        <v>355</v>
      </c>
      <c r="I41" s="40">
        <v>2000</v>
      </c>
      <c r="J41" s="15" t="s">
        <v>41</v>
      </c>
      <c r="K41" s="15" t="s">
        <v>41</v>
      </c>
      <c r="L41" s="14" t="s">
        <v>1843</v>
      </c>
      <c r="M41" s="41" t="s">
        <v>29</v>
      </c>
    </row>
    <row r="42" spans="2:13" ht="30" customHeight="1" x14ac:dyDescent="0.45">
      <c r="B42" s="45" t="s">
        <v>1842</v>
      </c>
      <c r="C42" s="10" t="s">
        <v>17</v>
      </c>
      <c r="D42" s="10" t="s">
        <v>30</v>
      </c>
      <c r="E42" s="10" t="s">
        <v>1828</v>
      </c>
      <c r="F42" s="10" t="s">
        <v>1829</v>
      </c>
      <c r="G42" s="12" t="s">
        <v>1830</v>
      </c>
      <c r="H42" s="40">
        <v>400</v>
      </c>
      <c r="I42" s="40">
        <v>12300</v>
      </c>
      <c r="J42" s="15" t="s">
        <v>41</v>
      </c>
      <c r="K42" s="15" t="s">
        <v>41</v>
      </c>
      <c r="L42" s="14" t="s">
        <v>1844</v>
      </c>
      <c r="M42" s="41" t="s">
        <v>29</v>
      </c>
    </row>
    <row r="43" spans="2:13" ht="30" customHeight="1" x14ac:dyDescent="0.45">
      <c r="B43" s="45" t="s">
        <v>1842</v>
      </c>
      <c r="C43" s="10" t="s">
        <v>9</v>
      </c>
      <c r="D43" s="10" t="s">
        <v>30</v>
      </c>
      <c r="E43" s="10" t="s">
        <v>1811</v>
      </c>
      <c r="F43" s="10" t="s">
        <v>1831</v>
      </c>
      <c r="G43" s="12" t="s">
        <v>1512</v>
      </c>
      <c r="H43" s="40">
        <v>50</v>
      </c>
      <c r="I43" s="40">
        <v>500</v>
      </c>
      <c r="J43" s="15" t="s">
        <v>41</v>
      </c>
      <c r="K43" s="15" t="s">
        <v>41</v>
      </c>
      <c r="L43" s="14" t="s">
        <v>1832</v>
      </c>
      <c r="M43" s="41" t="s">
        <v>29</v>
      </c>
    </row>
    <row r="44" spans="2:13" ht="30" customHeight="1" x14ac:dyDescent="0.45">
      <c r="B44" s="45" t="s">
        <v>1842</v>
      </c>
      <c r="C44" s="10" t="s">
        <v>10</v>
      </c>
      <c r="D44" s="10" t="s">
        <v>1833</v>
      </c>
      <c r="E44" s="10" t="s">
        <v>1799</v>
      </c>
      <c r="F44" s="10" t="s">
        <v>1834</v>
      </c>
      <c r="G44" s="12" t="s">
        <v>1835</v>
      </c>
      <c r="H44" s="40">
        <v>37</v>
      </c>
      <c r="I44" s="15" t="s">
        <v>41</v>
      </c>
      <c r="J44" s="15" t="s">
        <v>41</v>
      </c>
      <c r="K44" s="15" t="s">
        <v>41</v>
      </c>
      <c r="L44" s="14" t="s">
        <v>1845</v>
      </c>
      <c r="M44" s="41" t="s">
        <v>29</v>
      </c>
    </row>
    <row r="45" spans="2:13" ht="30" customHeight="1" x14ac:dyDescent="0.45">
      <c r="B45" s="45" t="s">
        <v>1842</v>
      </c>
      <c r="C45" s="10" t="s">
        <v>19</v>
      </c>
      <c r="D45" s="10" t="s">
        <v>1836</v>
      </c>
      <c r="E45" s="10" t="s">
        <v>1811</v>
      </c>
      <c r="F45" s="10" t="s">
        <v>1837</v>
      </c>
      <c r="G45" s="12" t="s">
        <v>1838</v>
      </c>
      <c r="H45" s="40">
        <v>220</v>
      </c>
      <c r="I45" s="40">
        <v>1070</v>
      </c>
      <c r="J45" s="15" t="s">
        <v>41</v>
      </c>
      <c r="K45" s="15" t="s">
        <v>41</v>
      </c>
      <c r="L45" s="14" t="s">
        <v>1839</v>
      </c>
      <c r="M45" s="41" t="s">
        <v>29</v>
      </c>
    </row>
    <row r="46" spans="2:13" ht="30" customHeight="1" x14ac:dyDescent="0.45">
      <c r="B46" s="45"/>
      <c r="C46" s="10"/>
      <c r="D46" s="10"/>
      <c r="E46" s="10"/>
      <c r="F46" s="10"/>
      <c r="G46" s="12"/>
      <c r="H46" s="40"/>
      <c r="I46" s="40"/>
      <c r="J46" s="15"/>
      <c r="K46" s="15"/>
      <c r="L46" s="14"/>
      <c r="M46" s="41"/>
    </row>
    <row r="47" spans="2:13" ht="30" customHeight="1" x14ac:dyDescent="0.45">
      <c r="B47" s="45" t="s">
        <v>1773</v>
      </c>
      <c r="C47" s="10" t="s">
        <v>15</v>
      </c>
      <c r="D47" s="10" t="s">
        <v>30</v>
      </c>
      <c r="E47" s="10">
        <v>46174</v>
      </c>
      <c r="F47" s="10" t="s">
        <v>1717</v>
      </c>
      <c r="G47" s="12" t="s">
        <v>1718</v>
      </c>
      <c r="H47" s="40">
        <v>28.8</v>
      </c>
      <c r="I47" s="40" t="s">
        <v>41</v>
      </c>
      <c r="J47" s="15" t="s">
        <v>41</v>
      </c>
      <c r="K47" s="15" t="s">
        <v>41</v>
      </c>
      <c r="L47" s="14" t="s">
        <v>1783</v>
      </c>
      <c r="M47" s="41" t="s">
        <v>29</v>
      </c>
    </row>
    <row r="48" spans="2:13" ht="30" customHeight="1" x14ac:dyDescent="0.45">
      <c r="B48" s="45" t="s">
        <v>1773</v>
      </c>
      <c r="C48" s="10" t="s">
        <v>12</v>
      </c>
      <c r="D48" s="10" t="s">
        <v>30</v>
      </c>
      <c r="E48" s="10">
        <v>46177</v>
      </c>
      <c r="F48" s="10" t="s">
        <v>575</v>
      </c>
      <c r="G48" s="12" t="s">
        <v>1784</v>
      </c>
      <c r="H48" s="40">
        <v>750</v>
      </c>
      <c r="I48" s="40">
        <v>44000</v>
      </c>
      <c r="J48" s="15" t="s">
        <v>41</v>
      </c>
      <c r="K48" s="15" t="s">
        <v>41</v>
      </c>
      <c r="L48" s="14" t="s">
        <v>1785</v>
      </c>
      <c r="M48" s="41" t="s">
        <v>29</v>
      </c>
    </row>
    <row r="49" spans="2:13" ht="30" customHeight="1" x14ac:dyDescent="0.45">
      <c r="B49" s="45" t="s">
        <v>1773</v>
      </c>
      <c r="C49" s="10" t="s">
        <v>17</v>
      </c>
      <c r="D49" s="10" t="s">
        <v>30</v>
      </c>
      <c r="E49" s="10">
        <v>46176</v>
      </c>
      <c r="F49" s="10" t="s">
        <v>1763</v>
      </c>
      <c r="G49" s="12" t="s">
        <v>1770</v>
      </c>
      <c r="H49" s="40">
        <v>350</v>
      </c>
      <c r="I49" s="40">
        <v>7500</v>
      </c>
      <c r="J49" s="15" t="s">
        <v>41</v>
      </c>
      <c r="K49" s="15" t="s">
        <v>41</v>
      </c>
      <c r="L49" s="14" t="s">
        <v>1786</v>
      </c>
      <c r="M49" s="41" t="s">
        <v>29</v>
      </c>
    </row>
    <row r="50" spans="2:13" ht="30" customHeight="1" x14ac:dyDescent="0.45">
      <c r="B50" s="45" t="s">
        <v>1773</v>
      </c>
      <c r="C50" s="10" t="s">
        <v>17</v>
      </c>
      <c r="D50" s="10" t="s">
        <v>981</v>
      </c>
      <c r="E50" s="10">
        <v>46176</v>
      </c>
      <c r="F50" s="10" t="s">
        <v>1788</v>
      </c>
      <c r="G50" s="12" t="s">
        <v>947</v>
      </c>
      <c r="H50" s="40">
        <v>1000</v>
      </c>
      <c r="I50" s="40">
        <v>3700</v>
      </c>
      <c r="J50" s="15" t="s">
        <v>41</v>
      </c>
      <c r="K50" s="15" t="s">
        <v>41</v>
      </c>
      <c r="L50" s="14" t="s">
        <v>1789</v>
      </c>
      <c r="M50" s="41" t="s">
        <v>29</v>
      </c>
    </row>
    <row r="51" spans="2:13" ht="30" customHeight="1" x14ac:dyDescent="0.45">
      <c r="B51" s="45" t="s">
        <v>1773</v>
      </c>
      <c r="C51" s="10" t="s">
        <v>9</v>
      </c>
      <c r="D51" s="10" t="s">
        <v>30</v>
      </c>
      <c r="E51" s="10">
        <v>46177</v>
      </c>
      <c r="F51" s="10" t="s">
        <v>1766</v>
      </c>
      <c r="G51" s="12" t="s">
        <v>1172</v>
      </c>
      <c r="H51" s="40">
        <v>40</v>
      </c>
      <c r="I51" s="40" t="s">
        <v>41</v>
      </c>
      <c r="J51" s="15" t="s">
        <v>41</v>
      </c>
      <c r="K51" s="15" t="s">
        <v>41</v>
      </c>
      <c r="L51" s="14" t="s">
        <v>1787</v>
      </c>
      <c r="M51" s="41" t="s">
        <v>29</v>
      </c>
    </row>
    <row r="52" spans="2:13" ht="30" customHeight="1" x14ac:dyDescent="0.45">
      <c r="B52" s="45" t="s">
        <v>1773</v>
      </c>
      <c r="C52" s="10" t="s">
        <v>10</v>
      </c>
      <c r="D52" s="10" t="s">
        <v>30</v>
      </c>
      <c r="E52" s="10">
        <v>46176</v>
      </c>
      <c r="F52" s="10" t="s">
        <v>1790</v>
      </c>
      <c r="G52" s="12" t="s">
        <v>1791</v>
      </c>
      <c r="H52" s="40">
        <v>40</v>
      </c>
      <c r="I52" s="40" t="s">
        <v>41</v>
      </c>
      <c r="J52" s="15" t="s">
        <v>41</v>
      </c>
      <c r="K52" s="15" t="s">
        <v>41</v>
      </c>
      <c r="L52" s="14" t="s">
        <v>1792</v>
      </c>
      <c r="M52" s="41" t="s">
        <v>29</v>
      </c>
    </row>
    <row r="53" spans="2:13" ht="30" customHeight="1" x14ac:dyDescent="0.45">
      <c r="B53" s="45"/>
      <c r="C53" s="10"/>
      <c r="D53" s="10"/>
      <c r="E53" s="10"/>
      <c r="F53" s="10"/>
      <c r="G53" s="12"/>
      <c r="H53" s="40"/>
      <c r="I53" s="40"/>
      <c r="J53" s="15"/>
      <c r="K53" s="15"/>
      <c r="L53" s="14"/>
      <c r="M53" s="41"/>
    </row>
    <row r="54" spans="2:13" ht="30" customHeight="1" x14ac:dyDescent="0.45">
      <c r="B54" s="45" t="s">
        <v>1701</v>
      </c>
      <c r="C54" s="10" t="s">
        <v>14</v>
      </c>
      <c r="D54" s="10" t="s">
        <v>30</v>
      </c>
      <c r="E54" s="10">
        <v>46168</v>
      </c>
      <c r="F54" s="10" t="s">
        <v>1714</v>
      </c>
      <c r="G54" s="12" t="s">
        <v>1715</v>
      </c>
      <c r="H54" s="40" t="s">
        <v>41</v>
      </c>
      <c r="I54" s="40" t="s">
        <v>41</v>
      </c>
      <c r="J54" s="15" t="s">
        <v>41</v>
      </c>
      <c r="K54" s="15" t="s">
        <v>41</v>
      </c>
      <c r="L54" s="14" t="s">
        <v>1716</v>
      </c>
      <c r="M54" s="41" t="s">
        <v>29</v>
      </c>
    </row>
    <row r="55" spans="2:13" ht="30" customHeight="1" x14ac:dyDescent="0.45">
      <c r="B55" s="45" t="s">
        <v>1701</v>
      </c>
      <c r="C55" s="10" t="s">
        <v>15</v>
      </c>
      <c r="D55" s="10" t="s">
        <v>30</v>
      </c>
      <c r="E55" s="10">
        <v>46169</v>
      </c>
      <c r="F55" s="10" t="s">
        <v>1719</v>
      </c>
      <c r="G55" s="12" t="s">
        <v>1720</v>
      </c>
      <c r="H55" s="40">
        <v>26</v>
      </c>
      <c r="I55" s="40" t="s">
        <v>41</v>
      </c>
      <c r="J55" s="15" t="s">
        <v>41</v>
      </c>
      <c r="K55" s="15" t="s">
        <v>41</v>
      </c>
      <c r="L55" s="14" t="s">
        <v>1721</v>
      </c>
      <c r="M55" s="41" t="s">
        <v>29</v>
      </c>
    </row>
    <row r="56" spans="2:13" ht="30" customHeight="1" x14ac:dyDescent="0.45">
      <c r="B56" s="45" t="s">
        <v>1701</v>
      </c>
      <c r="C56" s="10" t="s">
        <v>12</v>
      </c>
      <c r="D56" s="10" t="s">
        <v>144</v>
      </c>
      <c r="E56" s="10">
        <v>46170</v>
      </c>
      <c r="F56" s="10" t="s">
        <v>1709</v>
      </c>
      <c r="G56" s="12" t="s">
        <v>1732</v>
      </c>
      <c r="H56" s="40">
        <v>110</v>
      </c>
      <c r="I56" s="40" t="s">
        <v>41</v>
      </c>
      <c r="J56" s="15" t="s">
        <v>41</v>
      </c>
      <c r="K56" s="15" t="s">
        <v>41</v>
      </c>
      <c r="L56" s="14" t="s">
        <v>1733</v>
      </c>
      <c r="M56" s="41" t="s">
        <v>29</v>
      </c>
    </row>
    <row r="57" spans="2:13" ht="30" customHeight="1" x14ac:dyDescent="0.45">
      <c r="B57" s="45" t="s">
        <v>1701</v>
      </c>
      <c r="C57" s="10" t="s">
        <v>12</v>
      </c>
      <c r="D57" s="10" t="s">
        <v>99</v>
      </c>
      <c r="E57" s="10">
        <v>46168</v>
      </c>
      <c r="F57" s="10" t="s">
        <v>1675</v>
      </c>
      <c r="G57" s="12" t="s">
        <v>1674</v>
      </c>
      <c r="H57" s="40">
        <v>40</v>
      </c>
      <c r="I57" s="40" t="s">
        <v>41</v>
      </c>
      <c r="J57" s="15" t="s">
        <v>41</v>
      </c>
      <c r="K57" s="15" t="s">
        <v>41</v>
      </c>
      <c r="L57" s="14" t="s">
        <v>1722</v>
      </c>
      <c r="M57" s="41" t="s">
        <v>29</v>
      </c>
    </row>
    <row r="58" spans="2:13" ht="30" customHeight="1" x14ac:dyDescent="0.45">
      <c r="B58" s="45" t="s">
        <v>1701</v>
      </c>
      <c r="C58" s="10" t="s">
        <v>17</v>
      </c>
      <c r="D58" s="10" t="s">
        <v>30</v>
      </c>
      <c r="E58" s="10">
        <v>46170</v>
      </c>
      <c r="F58" s="10" t="s">
        <v>1723</v>
      </c>
      <c r="G58" s="12" t="s">
        <v>556</v>
      </c>
      <c r="H58" s="40">
        <v>47</v>
      </c>
      <c r="I58" s="40" t="s">
        <v>41</v>
      </c>
      <c r="J58" s="15" t="s">
        <v>41</v>
      </c>
      <c r="K58" s="15" t="s">
        <v>41</v>
      </c>
      <c r="L58" s="14" t="s">
        <v>1724</v>
      </c>
      <c r="M58" s="41" t="s">
        <v>29</v>
      </c>
    </row>
    <row r="59" spans="2:13" ht="30" customHeight="1" x14ac:dyDescent="0.45">
      <c r="B59" s="45" t="s">
        <v>1701</v>
      </c>
      <c r="C59" s="10" t="s">
        <v>9</v>
      </c>
      <c r="D59" s="10" t="s">
        <v>30</v>
      </c>
      <c r="E59" s="10">
        <v>46170</v>
      </c>
      <c r="F59" s="10" t="s">
        <v>105</v>
      </c>
      <c r="G59" s="12" t="s">
        <v>472</v>
      </c>
      <c r="H59" s="40">
        <v>106</v>
      </c>
      <c r="I59" s="40">
        <v>2600</v>
      </c>
      <c r="J59" s="15" t="s">
        <v>41</v>
      </c>
      <c r="K59" s="15" t="s">
        <v>41</v>
      </c>
      <c r="L59" s="14" t="s">
        <v>1726</v>
      </c>
      <c r="M59" s="41" t="s">
        <v>29</v>
      </c>
    </row>
    <row r="60" spans="2:13" ht="30" customHeight="1" x14ac:dyDescent="0.45">
      <c r="B60" s="45" t="s">
        <v>1701</v>
      </c>
      <c r="C60" s="10" t="s">
        <v>9</v>
      </c>
      <c r="D60" s="10" t="s">
        <v>30</v>
      </c>
      <c r="E60" s="10">
        <v>46169</v>
      </c>
      <c r="F60" s="10" t="s">
        <v>1727</v>
      </c>
      <c r="G60" s="12" t="s">
        <v>1728</v>
      </c>
      <c r="H60" s="40">
        <v>46</v>
      </c>
      <c r="I60" s="40" t="s">
        <v>41</v>
      </c>
      <c r="J60" s="15" t="s">
        <v>41</v>
      </c>
      <c r="K60" s="15" t="s">
        <v>41</v>
      </c>
      <c r="L60" s="14" t="s">
        <v>1729</v>
      </c>
      <c r="M60" s="41" t="s">
        <v>29</v>
      </c>
    </row>
    <row r="61" spans="2:13" ht="30" customHeight="1" x14ac:dyDescent="0.45">
      <c r="B61" s="45" t="s">
        <v>1701</v>
      </c>
      <c r="C61" s="10" t="s">
        <v>10</v>
      </c>
      <c r="D61" s="10" t="s">
        <v>36</v>
      </c>
      <c r="E61" s="10">
        <v>46167</v>
      </c>
      <c r="F61" s="10" t="s">
        <v>1730</v>
      </c>
      <c r="G61" s="12" t="s">
        <v>296</v>
      </c>
      <c r="H61" s="40">
        <v>63</v>
      </c>
      <c r="I61" s="40" t="s">
        <v>41</v>
      </c>
      <c r="J61" s="15" t="s">
        <v>41</v>
      </c>
      <c r="K61" s="15" t="s">
        <v>41</v>
      </c>
      <c r="L61" s="14" t="s">
        <v>1731</v>
      </c>
      <c r="M61" s="41" t="s">
        <v>29</v>
      </c>
    </row>
    <row r="62" spans="2:13" ht="30" customHeight="1" x14ac:dyDescent="0.45">
      <c r="B62" s="45" t="s">
        <v>1657</v>
      </c>
      <c r="C62" s="10" t="s">
        <v>14</v>
      </c>
      <c r="D62" s="10" t="s">
        <v>30</v>
      </c>
      <c r="E62" s="10">
        <v>46164</v>
      </c>
      <c r="F62" s="10" t="s">
        <v>1658</v>
      </c>
      <c r="G62" s="12" t="s">
        <v>328</v>
      </c>
      <c r="H62" s="40">
        <v>150</v>
      </c>
      <c r="I62" s="40" t="s">
        <v>41</v>
      </c>
      <c r="J62" s="15" t="s">
        <v>41</v>
      </c>
      <c r="K62" s="15" t="s">
        <v>41</v>
      </c>
      <c r="L62" s="14" t="s">
        <v>1659</v>
      </c>
      <c r="M62" s="41" t="s">
        <v>29</v>
      </c>
    </row>
    <row r="63" spans="2:13" ht="30" customHeight="1" x14ac:dyDescent="0.45">
      <c r="B63" s="45" t="s">
        <v>1607</v>
      </c>
      <c r="C63" s="10" t="s">
        <v>12</v>
      </c>
      <c r="D63" s="10" t="s">
        <v>226</v>
      </c>
      <c r="E63" s="10">
        <v>46154</v>
      </c>
      <c r="F63" s="10" t="s">
        <v>1613</v>
      </c>
      <c r="G63" s="12" t="s">
        <v>1614</v>
      </c>
      <c r="H63" s="40">
        <v>35</v>
      </c>
      <c r="I63" s="40" t="s">
        <v>41</v>
      </c>
      <c r="J63" s="15" t="s">
        <v>41</v>
      </c>
      <c r="K63" s="15" t="s">
        <v>41</v>
      </c>
      <c r="L63" s="14" t="s">
        <v>1615</v>
      </c>
      <c r="M63" s="41" t="s">
        <v>29</v>
      </c>
    </row>
    <row r="64" spans="2:13" ht="30" customHeight="1" x14ac:dyDescent="0.45">
      <c r="B64" s="45" t="s">
        <v>1657</v>
      </c>
      <c r="C64" s="10" t="s">
        <v>14</v>
      </c>
      <c r="D64" s="10" t="s">
        <v>30</v>
      </c>
      <c r="E64" s="10">
        <v>46161</v>
      </c>
      <c r="F64" s="10" t="s">
        <v>1660</v>
      </c>
      <c r="G64" s="12" t="s">
        <v>160</v>
      </c>
      <c r="H64" s="40">
        <v>78</v>
      </c>
      <c r="I64" s="40" t="s">
        <v>41</v>
      </c>
      <c r="J64" s="15" t="s">
        <v>41</v>
      </c>
      <c r="K64" s="15" t="s">
        <v>41</v>
      </c>
      <c r="L64" s="14" t="s">
        <v>1661</v>
      </c>
      <c r="M64" s="41" t="s">
        <v>29</v>
      </c>
    </row>
    <row r="65" spans="2:13" ht="30" customHeight="1" x14ac:dyDescent="0.45">
      <c r="B65" s="45" t="s">
        <v>1657</v>
      </c>
      <c r="C65" s="10" t="s">
        <v>14</v>
      </c>
      <c r="D65" s="10" t="s">
        <v>95</v>
      </c>
      <c r="E65" s="10">
        <v>46161</v>
      </c>
      <c r="F65" s="10" t="s">
        <v>1662</v>
      </c>
      <c r="G65" s="12" t="s">
        <v>1083</v>
      </c>
      <c r="H65" s="40">
        <v>35</v>
      </c>
      <c r="I65" s="40" t="s">
        <v>41</v>
      </c>
      <c r="J65" s="15" t="s">
        <v>41</v>
      </c>
      <c r="K65" s="15" t="s">
        <v>41</v>
      </c>
      <c r="L65" s="14" t="s">
        <v>1663</v>
      </c>
      <c r="M65" s="41" t="s">
        <v>29</v>
      </c>
    </row>
    <row r="66" spans="2:13" ht="30" customHeight="1" x14ac:dyDescent="0.45">
      <c r="B66" s="45" t="s">
        <v>1657</v>
      </c>
      <c r="C66" s="10" t="s">
        <v>15</v>
      </c>
      <c r="D66" s="10" t="s">
        <v>30</v>
      </c>
      <c r="E66" s="10">
        <v>46162</v>
      </c>
      <c r="F66" s="10" t="s">
        <v>1664</v>
      </c>
      <c r="G66" s="12" t="s">
        <v>472</v>
      </c>
      <c r="H66" s="40">
        <v>200</v>
      </c>
      <c r="I66" s="40">
        <v>5200</v>
      </c>
      <c r="J66" s="15" t="s">
        <v>41</v>
      </c>
      <c r="K66" s="15" t="s">
        <v>41</v>
      </c>
      <c r="L66" s="14" t="s">
        <v>1665</v>
      </c>
      <c r="M66" s="41" t="s">
        <v>29</v>
      </c>
    </row>
    <row r="67" spans="2:13" ht="30" customHeight="1" x14ac:dyDescent="0.45">
      <c r="B67" s="45" t="s">
        <v>1657</v>
      </c>
      <c r="C67" s="10" t="s">
        <v>15</v>
      </c>
      <c r="D67" s="10" t="s">
        <v>30</v>
      </c>
      <c r="E67" s="10">
        <v>46162</v>
      </c>
      <c r="F67" s="10" t="s">
        <v>1666</v>
      </c>
      <c r="G67" s="12" t="s">
        <v>1667</v>
      </c>
      <c r="H67" s="40">
        <v>30</v>
      </c>
      <c r="I67" s="40" t="s">
        <v>41</v>
      </c>
      <c r="J67" s="15" t="s">
        <v>41</v>
      </c>
      <c r="K67" s="15" t="s">
        <v>41</v>
      </c>
      <c r="L67" s="14" t="s">
        <v>1668</v>
      </c>
      <c r="M67" s="41" t="s">
        <v>29</v>
      </c>
    </row>
    <row r="68" spans="2:13" ht="30" customHeight="1" x14ac:dyDescent="0.45">
      <c r="B68" s="45" t="s">
        <v>1657</v>
      </c>
      <c r="C68" s="10" t="s">
        <v>15</v>
      </c>
      <c r="D68" s="10" t="s">
        <v>30</v>
      </c>
      <c r="E68" s="10">
        <v>46161</v>
      </c>
      <c r="F68" s="10" t="s">
        <v>1677</v>
      </c>
      <c r="G68" s="12" t="s">
        <v>296</v>
      </c>
      <c r="H68" s="40">
        <v>50</v>
      </c>
      <c r="I68" s="40" t="s">
        <v>41</v>
      </c>
      <c r="J68" s="15" t="s">
        <v>41</v>
      </c>
      <c r="K68" s="15" t="s">
        <v>41</v>
      </c>
      <c r="L68" s="14" t="s">
        <v>1678</v>
      </c>
      <c r="M68" s="41" t="s">
        <v>29</v>
      </c>
    </row>
    <row r="69" spans="2:13" ht="30" customHeight="1" x14ac:dyDescent="0.45">
      <c r="B69" s="45" t="s">
        <v>1657</v>
      </c>
      <c r="C69" s="10" t="s">
        <v>16</v>
      </c>
      <c r="D69" s="10" t="s">
        <v>30</v>
      </c>
      <c r="E69" s="10">
        <v>46164</v>
      </c>
      <c r="F69" s="10" t="s">
        <v>1091</v>
      </c>
      <c r="G69" s="12" t="s">
        <v>1669</v>
      </c>
      <c r="H69" s="40">
        <v>200</v>
      </c>
      <c r="I69" s="40" t="s">
        <v>41</v>
      </c>
      <c r="J69" s="15" t="s">
        <v>41</v>
      </c>
      <c r="K69" s="15" t="s">
        <v>41</v>
      </c>
      <c r="L69" s="14" t="s">
        <v>1670</v>
      </c>
      <c r="M69" s="41" t="s">
        <v>29</v>
      </c>
    </row>
    <row r="70" spans="2:13" ht="30" customHeight="1" x14ac:dyDescent="0.45">
      <c r="B70" s="45" t="s">
        <v>1657</v>
      </c>
      <c r="C70" s="10" t="s">
        <v>16</v>
      </c>
      <c r="D70" s="10" t="s">
        <v>1058</v>
      </c>
      <c r="E70" s="10">
        <v>46162</v>
      </c>
      <c r="F70" s="10" t="s">
        <v>1671</v>
      </c>
      <c r="G70" s="12" t="s">
        <v>1672</v>
      </c>
      <c r="H70" s="40">
        <v>40</v>
      </c>
      <c r="I70" s="40" t="s">
        <v>41</v>
      </c>
      <c r="J70" s="15" t="s">
        <v>41</v>
      </c>
      <c r="K70" s="15" t="s">
        <v>41</v>
      </c>
      <c r="L70" s="14" t="s">
        <v>1673</v>
      </c>
      <c r="M70" s="41" t="s">
        <v>29</v>
      </c>
    </row>
    <row r="71" spans="2:13" ht="30" customHeight="1" x14ac:dyDescent="0.45">
      <c r="B71" s="45" t="s">
        <v>1657</v>
      </c>
      <c r="C71" s="10" t="s">
        <v>12</v>
      </c>
      <c r="D71" s="10" t="s">
        <v>30</v>
      </c>
      <c r="E71" s="10">
        <v>46163</v>
      </c>
      <c r="F71" s="10" t="s">
        <v>1675</v>
      </c>
      <c r="G71" s="12" t="s">
        <v>1674</v>
      </c>
      <c r="H71" s="40">
        <v>40</v>
      </c>
      <c r="I71" s="40" t="s">
        <v>41</v>
      </c>
      <c r="J71" s="15" t="s">
        <v>41</v>
      </c>
      <c r="K71" s="15" t="s">
        <v>41</v>
      </c>
      <c r="L71" s="14" t="s">
        <v>1676</v>
      </c>
      <c r="M71" s="41" t="s">
        <v>29</v>
      </c>
    </row>
    <row r="72" spans="2:13" ht="30" customHeight="1" x14ac:dyDescent="0.45">
      <c r="B72" s="45" t="s">
        <v>1657</v>
      </c>
      <c r="C72" s="10" t="s">
        <v>17</v>
      </c>
      <c r="D72" s="10" t="s">
        <v>30</v>
      </c>
      <c r="E72" s="10">
        <v>46163</v>
      </c>
      <c r="F72" s="10" t="s">
        <v>1679</v>
      </c>
      <c r="G72" s="12" t="s">
        <v>1680</v>
      </c>
      <c r="H72" s="40">
        <v>25</v>
      </c>
      <c r="I72" s="40" t="s">
        <v>41</v>
      </c>
      <c r="J72" s="15" t="s">
        <v>41</v>
      </c>
      <c r="K72" s="15" t="s">
        <v>41</v>
      </c>
      <c r="L72" s="14" t="s">
        <v>1681</v>
      </c>
      <c r="M72" s="41" t="s">
        <v>29</v>
      </c>
    </row>
    <row r="73" spans="2:13" ht="30" customHeight="1" x14ac:dyDescent="0.45">
      <c r="B73" s="45" t="s">
        <v>1657</v>
      </c>
      <c r="C73" s="10" t="s">
        <v>10</v>
      </c>
      <c r="D73" s="10" t="s">
        <v>110</v>
      </c>
      <c r="E73" s="10">
        <v>46162</v>
      </c>
      <c r="F73" s="10" t="s">
        <v>1682</v>
      </c>
      <c r="G73" s="12" t="s">
        <v>1683</v>
      </c>
      <c r="H73" s="40">
        <v>100</v>
      </c>
      <c r="I73" s="40" t="s">
        <v>41</v>
      </c>
      <c r="J73" s="15" t="s">
        <v>41</v>
      </c>
      <c r="K73" s="15" t="s">
        <v>41</v>
      </c>
      <c r="L73" s="14" t="s">
        <v>1684</v>
      </c>
      <c r="M73" s="41" t="s">
        <v>29</v>
      </c>
    </row>
    <row r="74" spans="2:13" ht="30" customHeight="1" x14ac:dyDescent="0.45">
      <c r="B74" s="45" t="s">
        <v>1607</v>
      </c>
      <c r="C74" s="10" t="s">
        <v>15</v>
      </c>
      <c r="D74" s="10" t="s">
        <v>30</v>
      </c>
      <c r="E74" s="10">
        <v>46157</v>
      </c>
      <c r="F74" s="10" t="s">
        <v>1621</v>
      </c>
      <c r="G74" s="12" t="s">
        <v>1622</v>
      </c>
      <c r="H74" s="40">
        <v>34</v>
      </c>
      <c r="I74" s="40" t="s">
        <v>41</v>
      </c>
      <c r="J74" s="15" t="s">
        <v>41</v>
      </c>
      <c r="K74" s="15" t="s">
        <v>41</v>
      </c>
      <c r="L74" s="14" t="s">
        <v>1623</v>
      </c>
      <c r="M74" s="41" t="s">
        <v>29</v>
      </c>
    </row>
    <row r="75" spans="2:13" ht="30" customHeight="1" x14ac:dyDescent="0.45">
      <c r="B75" s="45" t="s">
        <v>1607</v>
      </c>
      <c r="C75" s="10" t="s">
        <v>15</v>
      </c>
      <c r="D75" s="10" t="s">
        <v>357</v>
      </c>
      <c r="E75" s="10">
        <v>46156</v>
      </c>
      <c r="F75" s="10" t="s">
        <v>769</v>
      </c>
      <c r="G75" s="12" t="s">
        <v>1624</v>
      </c>
      <c r="H75" s="40">
        <v>51</v>
      </c>
      <c r="I75" s="40" t="s">
        <v>41</v>
      </c>
      <c r="J75" s="15" t="s">
        <v>41</v>
      </c>
      <c r="K75" s="15" t="s">
        <v>41</v>
      </c>
      <c r="L75" s="14" t="s">
        <v>1656</v>
      </c>
      <c r="M75" s="41" t="s">
        <v>29</v>
      </c>
    </row>
    <row r="76" spans="2:13" ht="30" customHeight="1" x14ac:dyDescent="0.45">
      <c r="B76" s="45" t="s">
        <v>1607</v>
      </c>
      <c r="C76" s="10" t="s">
        <v>15</v>
      </c>
      <c r="D76" s="10" t="s">
        <v>110</v>
      </c>
      <c r="E76" s="10">
        <v>46156</v>
      </c>
      <c r="F76" s="10" t="s">
        <v>1619</v>
      </c>
      <c r="G76" s="12" t="s">
        <v>1620</v>
      </c>
      <c r="H76" s="40">
        <v>120</v>
      </c>
      <c r="I76" s="40">
        <v>670</v>
      </c>
      <c r="J76" s="15" t="s">
        <v>41</v>
      </c>
      <c r="K76" s="15" t="s">
        <v>41</v>
      </c>
      <c r="L76" s="14" t="s">
        <v>1655</v>
      </c>
      <c r="M76" s="41" t="s">
        <v>29</v>
      </c>
    </row>
    <row r="77" spans="2:13" ht="30" customHeight="1" x14ac:dyDescent="0.45">
      <c r="B77" s="45" t="s">
        <v>1607</v>
      </c>
      <c r="C77" s="10" t="s">
        <v>15</v>
      </c>
      <c r="D77" s="10" t="s">
        <v>1617</v>
      </c>
      <c r="E77" s="10">
        <v>46156</v>
      </c>
      <c r="F77" s="10" t="s">
        <v>1616</v>
      </c>
      <c r="G77" s="12" t="s">
        <v>1594</v>
      </c>
      <c r="H77" s="40">
        <v>25</v>
      </c>
      <c r="I77" s="40" t="s">
        <v>41</v>
      </c>
      <c r="J77" s="15" t="s">
        <v>41</v>
      </c>
      <c r="K77" s="15" t="s">
        <v>41</v>
      </c>
      <c r="L77" s="14" t="s">
        <v>1618</v>
      </c>
      <c r="M77" s="41" t="s">
        <v>29</v>
      </c>
    </row>
    <row r="78" spans="2:13" ht="30" customHeight="1" x14ac:dyDescent="0.45">
      <c r="B78" s="45" t="s">
        <v>1607</v>
      </c>
      <c r="C78" s="10" t="s">
        <v>17</v>
      </c>
      <c r="D78" s="10" t="s">
        <v>30</v>
      </c>
      <c r="E78" s="10">
        <v>46154</v>
      </c>
      <c r="F78" s="10" t="s">
        <v>1610</v>
      </c>
      <c r="G78" s="12" t="s">
        <v>1611</v>
      </c>
      <c r="H78" s="40">
        <v>50</v>
      </c>
      <c r="I78" s="40" t="s">
        <v>41</v>
      </c>
      <c r="J78" s="15" t="s">
        <v>41</v>
      </c>
      <c r="K78" s="15" t="s">
        <v>41</v>
      </c>
      <c r="L78" s="14" t="s">
        <v>1612</v>
      </c>
      <c r="M78" s="41" t="s">
        <v>29</v>
      </c>
    </row>
    <row r="79" spans="2:13" ht="30" customHeight="1" x14ac:dyDescent="0.45">
      <c r="B79" s="45" t="s">
        <v>1607</v>
      </c>
      <c r="C79" s="10" t="s">
        <v>10</v>
      </c>
      <c r="D79" s="10" t="s">
        <v>110</v>
      </c>
      <c r="E79" s="10">
        <v>46154</v>
      </c>
      <c r="F79" s="10" t="s">
        <v>1608</v>
      </c>
      <c r="G79" s="12" t="s">
        <v>1609</v>
      </c>
      <c r="H79" s="40">
        <v>175</v>
      </c>
      <c r="I79" s="40" t="s">
        <v>41</v>
      </c>
      <c r="J79" s="15" t="s">
        <v>41</v>
      </c>
      <c r="K79" s="15" t="s">
        <v>41</v>
      </c>
      <c r="L79" s="14" t="s">
        <v>1654</v>
      </c>
      <c r="M79" s="41" t="s">
        <v>29</v>
      </c>
    </row>
    <row r="80" spans="2:13" ht="30" customHeight="1" x14ac:dyDescent="0.45">
      <c r="B80" s="45" t="s">
        <v>1564</v>
      </c>
      <c r="C80" s="10" t="s">
        <v>16</v>
      </c>
      <c r="D80" s="10" t="s">
        <v>30</v>
      </c>
      <c r="E80" s="10">
        <v>46150</v>
      </c>
      <c r="F80" s="10" t="s">
        <v>1091</v>
      </c>
      <c r="G80" s="12" t="s">
        <v>1095</v>
      </c>
      <c r="H80" s="40">
        <v>1000</v>
      </c>
      <c r="I80" s="40">
        <v>22000</v>
      </c>
      <c r="J80" s="15" t="s">
        <v>41</v>
      </c>
      <c r="K80" s="15" t="s">
        <v>41</v>
      </c>
      <c r="L80" s="14" t="s">
        <v>1597</v>
      </c>
      <c r="M80" s="41" t="s">
        <v>29</v>
      </c>
    </row>
    <row r="81" spans="2:13" ht="30" customHeight="1" x14ac:dyDescent="0.45">
      <c r="B81" s="45" t="s">
        <v>1564</v>
      </c>
      <c r="C81" s="10" t="s">
        <v>16</v>
      </c>
      <c r="D81" s="10" t="s">
        <v>30</v>
      </c>
      <c r="E81" s="10">
        <v>46148</v>
      </c>
      <c r="F81" s="10" t="s">
        <v>1592</v>
      </c>
      <c r="G81" s="12" t="s">
        <v>896</v>
      </c>
      <c r="H81" s="40" t="s">
        <v>41</v>
      </c>
      <c r="I81" s="40" t="s">
        <v>41</v>
      </c>
      <c r="J81" s="15" t="s">
        <v>41</v>
      </c>
      <c r="K81" s="15" t="s">
        <v>41</v>
      </c>
      <c r="L81" s="14" t="s">
        <v>1598</v>
      </c>
      <c r="M81" s="41" t="s">
        <v>29</v>
      </c>
    </row>
    <row r="82" spans="2:13" ht="30" customHeight="1" x14ac:dyDescent="0.45">
      <c r="B82" s="45" t="s">
        <v>1564</v>
      </c>
      <c r="C82" s="10" t="s">
        <v>12</v>
      </c>
      <c r="D82" s="10" t="s">
        <v>30</v>
      </c>
      <c r="E82" s="10">
        <v>46148</v>
      </c>
      <c r="F82" s="10" t="s">
        <v>1593</v>
      </c>
      <c r="G82" s="12" t="s">
        <v>1594</v>
      </c>
      <c r="H82" s="40">
        <v>60</v>
      </c>
      <c r="I82" s="40" t="s">
        <v>41</v>
      </c>
      <c r="J82" s="15" t="s">
        <v>41</v>
      </c>
      <c r="K82" s="15" t="s">
        <v>41</v>
      </c>
      <c r="L82" s="14" t="s">
        <v>1599</v>
      </c>
      <c r="M82" s="41" t="s">
        <v>29</v>
      </c>
    </row>
    <row r="83" spans="2:13" ht="30" customHeight="1" x14ac:dyDescent="0.45">
      <c r="B83" s="45" t="s">
        <v>1564</v>
      </c>
      <c r="C83" s="10" t="s">
        <v>17</v>
      </c>
      <c r="D83" s="10" t="s">
        <v>30</v>
      </c>
      <c r="E83" s="10">
        <v>46148</v>
      </c>
      <c r="F83" s="10" t="s">
        <v>1595</v>
      </c>
      <c r="G83" s="12" t="s">
        <v>1600</v>
      </c>
      <c r="H83" s="40">
        <v>35</v>
      </c>
      <c r="I83" s="40" t="s">
        <v>41</v>
      </c>
      <c r="J83" s="15" t="s">
        <v>41</v>
      </c>
      <c r="K83" s="15" t="s">
        <v>41</v>
      </c>
      <c r="L83" s="14" t="s">
        <v>1601</v>
      </c>
      <c r="M83" s="41" t="s">
        <v>29</v>
      </c>
    </row>
    <row r="84" spans="2:13" ht="30" customHeight="1" x14ac:dyDescent="0.45">
      <c r="B84" s="45" t="s">
        <v>1564</v>
      </c>
      <c r="C84" s="10" t="s">
        <v>9</v>
      </c>
      <c r="D84" s="10" t="s">
        <v>30</v>
      </c>
      <c r="E84" s="10">
        <v>46148</v>
      </c>
      <c r="F84" s="10" t="s">
        <v>105</v>
      </c>
      <c r="G84" s="12" t="s">
        <v>472</v>
      </c>
      <c r="H84" s="40">
        <v>160</v>
      </c>
      <c r="I84" s="40">
        <v>1300</v>
      </c>
      <c r="J84" s="15" t="s">
        <v>41</v>
      </c>
      <c r="K84" s="15" t="s">
        <v>41</v>
      </c>
      <c r="L84" s="14" t="s">
        <v>1606</v>
      </c>
      <c r="M84" s="41" t="s">
        <v>29</v>
      </c>
    </row>
    <row r="85" spans="2:13" ht="30" customHeight="1" x14ac:dyDescent="0.45">
      <c r="B85" s="45" t="s">
        <v>1564</v>
      </c>
      <c r="C85" s="10" t="s">
        <v>9</v>
      </c>
      <c r="D85" s="10" t="s">
        <v>30</v>
      </c>
      <c r="E85" s="10">
        <v>46146</v>
      </c>
      <c r="F85" s="10" t="s">
        <v>1596</v>
      </c>
      <c r="G85" s="12" t="s">
        <v>1602</v>
      </c>
      <c r="H85" s="40">
        <v>125</v>
      </c>
      <c r="I85" s="40" t="s">
        <v>41</v>
      </c>
      <c r="J85" s="15" t="s">
        <v>41</v>
      </c>
      <c r="K85" s="15" t="s">
        <v>41</v>
      </c>
      <c r="L85" s="14" t="s">
        <v>1603</v>
      </c>
      <c r="M85" s="41" t="s">
        <v>29</v>
      </c>
    </row>
    <row r="86" spans="2:13" ht="30" customHeight="1" x14ac:dyDescent="0.45">
      <c r="B86" s="18" t="s">
        <v>1495</v>
      </c>
      <c r="C86" s="10" t="s">
        <v>15</v>
      </c>
      <c r="D86" s="10" t="s">
        <v>30</v>
      </c>
      <c r="E86" s="10">
        <v>46139</v>
      </c>
      <c r="F86" s="10" t="s">
        <v>1496</v>
      </c>
      <c r="G86" s="12" t="s">
        <v>1454</v>
      </c>
      <c r="H86" s="40">
        <v>60</v>
      </c>
      <c r="I86" s="40" t="s">
        <v>41</v>
      </c>
      <c r="J86" s="15" t="s">
        <v>41</v>
      </c>
      <c r="K86" s="15" t="s">
        <v>41</v>
      </c>
      <c r="L86" s="14" t="s">
        <v>1516</v>
      </c>
      <c r="M86" s="41" t="s">
        <v>29</v>
      </c>
    </row>
    <row r="87" spans="2:13" ht="30" customHeight="1" x14ac:dyDescent="0.45">
      <c r="B87" s="18" t="s">
        <v>1495</v>
      </c>
      <c r="C87" s="10" t="s">
        <v>16</v>
      </c>
      <c r="D87" s="10" t="s">
        <v>30</v>
      </c>
      <c r="E87" s="10">
        <v>46142</v>
      </c>
      <c r="F87" s="10" t="s">
        <v>1497</v>
      </c>
      <c r="G87" s="12" t="s">
        <v>1510</v>
      </c>
      <c r="H87" s="40">
        <v>43</v>
      </c>
      <c r="I87" s="40" t="s">
        <v>41</v>
      </c>
      <c r="J87" s="15" t="s">
        <v>41</v>
      </c>
      <c r="K87" s="15" t="s">
        <v>41</v>
      </c>
      <c r="L87" s="14" t="s">
        <v>1517</v>
      </c>
      <c r="M87" s="41" t="s">
        <v>29</v>
      </c>
    </row>
    <row r="88" spans="2:13" ht="30" customHeight="1" x14ac:dyDescent="0.45">
      <c r="B88" s="18" t="s">
        <v>1495</v>
      </c>
      <c r="C88" s="10" t="s">
        <v>16</v>
      </c>
      <c r="D88" s="10" t="s">
        <v>36</v>
      </c>
      <c r="E88" s="10">
        <v>46142</v>
      </c>
      <c r="F88" s="10" t="s">
        <v>1498</v>
      </c>
      <c r="G88" s="12" t="s">
        <v>1511</v>
      </c>
      <c r="H88" s="40">
        <v>33</v>
      </c>
      <c r="I88" s="40">
        <v>200</v>
      </c>
      <c r="J88" s="15" t="s">
        <v>41</v>
      </c>
      <c r="K88" s="15" t="s">
        <v>41</v>
      </c>
      <c r="L88" s="14" t="s">
        <v>1518</v>
      </c>
      <c r="M88" s="41" t="s">
        <v>29</v>
      </c>
    </row>
    <row r="89" spans="2:13" ht="30" customHeight="1" x14ac:dyDescent="0.45">
      <c r="B89" s="18" t="s">
        <v>1495</v>
      </c>
      <c r="C89" s="10" t="s">
        <v>16</v>
      </c>
      <c r="D89" s="10" t="s">
        <v>30</v>
      </c>
      <c r="E89" s="10">
        <v>46142</v>
      </c>
      <c r="F89" s="10" t="s">
        <v>1499</v>
      </c>
      <c r="G89" s="12" t="s">
        <v>1512</v>
      </c>
      <c r="H89" s="40">
        <v>160</v>
      </c>
      <c r="I89" s="40" t="s">
        <v>41</v>
      </c>
      <c r="J89" s="15" t="s">
        <v>41</v>
      </c>
      <c r="K89" s="15" t="s">
        <v>41</v>
      </c>
      <c r="L89" s="14" t="s">
        <v>1562</v>
      </c>
      <c r="M89" s="41" t="s">
        <v>29</v>
      </c>
    </row>
    <row r="90" spans="2:13" ht="30" customHeight="1" x14ac:dyDescent="0.45">
      <c r="B90" s="18" t="s">
        <v>1495</v>
      </c>
      <c r="C90" s="10" t="s">
        <v>12</v>
      </c>
      <c r="D90" s="10" t="s">
        <v>30</v>
      </c>
      <c r="E90" s="10">
        <v>46142</v>
      </c>
      <c r="F90" s="10" t="s">
        <v>1500</v>
      </c>
      <c r="G90" s="12" t="s">
        <v>1513</v>
      </c>
      <c r="H90" s="40">
        <v>30</v>
      </c>
      <c r="I90" s="40" t="s">
        <v>41</v>
      </c>
      <c r="J90" s="15" t="s">
        <v>41</v>
      </c>
      <c r="K90" s="15" t="s">
        <v>41</v>
      </c>
      <c r="L90" s="14" t="s">
        <v>1519</v>
      </c>
      <c r="M90" s="41" t="s">
        <v>29</v>
      </c>
    </row>
    <row r="91" spans="2:13" ht="30" customHeight="1" x14ac:dyDescent="0.45">
      <c r="B91" s="18" t="s">
        <v>1495</v>
      </c>
      <c r="C91" s="10" t="s">
        <v>12</v>
      </c>
      <c r="D91" s="10" t="s">
        <v>30</v>
      </c>
      <c r="E91" s="10">
        <v>46141</v>
      </c>
      <c r="F91" s="10" t="s">
        <v>1502</v>
      </c>
      <c r="G91" s="12" t="s">
        <v>1501</v>
      </c>
      <c r="H91" s="40">
        <v>45</v>
      </c>
      <c r="I91" s="40" t="s">
        <v>41</v>
      </c>
      <c r="J91" s="15" t="s">
        <v>41</v>
      </c>
      <c r="K91" s="15" t="s">
        <v>41</v>
      </c>
      <c r="L91" s="14" t="s">
        <v>1520</v>
      </c>
      <c r="M91" s="41" t="s">
        <v>29</v>
      </c>
    </row>
    <row r="92" spans="2:13" ht="30" customHeight="1" x14ac:dyDescent="0.45">
      <c r="B92" s="18" t="s">
        <v>1495</v>
      </c>
      <c r="C92" s="10" t="s">
        <v>9</v>
      </c>
      <c r="D92" s="10" t="s">
        <v>30</v>
      </c>
      <c r="E92" s="10">
        <v>46141</v>
      </c>
      <c r="F92" s="10" t="s">
        <v>1505</v>
      </c>
      <c r="G92" s="12" t="s">
        <v>1506</v>
      </c>
      <c r="H92" s="40">
        <v>50</v>
      </c>
      <c r="I92" s="40" t="s">
        <v>41</v>
      </c>
      <c r="J92" s="15" t="s">
        <v>41</v>
      </c>
      <c r="K92" s="15" t="s">
        <v>41</v>
      </c>
      <c r="L92" s="14" t="s">
        <v>1521</v>
      </c>
      <c r="M92" s="41" t="s">
        <v>29</v>
      </c>
    </row>
    <row r="93" spans="2:13" ht="30" customHeight="1" x14ac:dyDescent="0.45">
      <c r="B93" s="18" t="s">
        <v>1495</v>
      </c>
      <c r="C93" s="10" t="s">
        <v>10</v>
      </c>
      <c r="D93" s="10" t="s">
        <v>30</v>
      </c>
      <c r="E93" s="10">
        <v>46143</v>
      </c>
      <c r="F93" s="10" t="s">
        <v>1514</v>
      </c>
      <c r="G93" s="12" t="s">
        <v>1515</v>
      </c>
      <c r="H93" s="40">
        <v>72</v>
      </c>
      <c r="I93" s="40" t="s">
        <v>41</v>
      </c>
      <c r="J93" s="15" t="s">
        <v>41</v>
      </c>
      <c r="K93" s="15" t="s">
        <v>41</v>
      </c>
      <c r="L93" s="14" t="s">
        <v>1522</v>
      </c>
      <c r="M93" s="41" t="s">
        <v>29</v>
      </c>
    </row>
    <row r="94" spans="2:13" ht="30" customHeight="1" x14ac:dyDescent="0.45">
      <c r="B94" s="18" t="s">
        <v>1495</v>
      </c>
      <c r="C94" s="10" t="s">
        <v>10</v>
      </c>
      <c r="D94" s="10" t="s">
        <v>110</v>
      </c>
      <c r="E94" s="10">
        <v>46141</v>
      </c>
      <c r="F94" s="10" t="s">
        <v>1507</v>
      </c>
      <c r="G94" s="12" t="s">
        <v>1560</v>
      </c>
      <c r="H94" s="40">
        <v>750</v>
      </c>
      <c r="I94" s="40" t="s">
        <v>41</v>
      </c>
      <c r="J94" s="15" t="s">
        <v>41</v>
      </c>
      <c r="K94" s="15" t="s">
        <v>41</v>
      </c>
      <c r="L94" s="14" t="s">
        <v>1561</v>
      </c>
      <c r="M94" s="41" t="s">
        <v>29</v>
      </c>
    </row>
    <row r="95" spans="2:13" ht="30" customHeight="1" x14ac:dyDescent="0.45">
      <c r="B95" s="18" t="s">
        <v>1494</v>
      </c>
      <c r="C95" s="10" t="s">
        <v>14</v>
      </c>
      <c r="D95" s="10" t="s">
        <v>30</v>
      </c>
      <c r="E95" s="10">
        <v>46132</v>
      </c>
      <c r="F95" s="10" t="s">
        <v>1447</v>
      </c>
      <c r="G95" s="12" t="s">
        <v>1448</v>
      </c>
      <c r="H95" s="40" t="s">
        <v>41</v>
      </c>
      <c r="I95" s="40" t="s">
        <v>41</v>
      </c>
      <c r="J95" s="15" t="s">
        <v>41</v>
      </c>
      <c r="K95" s="15" t="s">
        <v>41</v>
      </c>
      <c r="L95" s="14" t="s">
        <v>1458</v>
      </c>
      <c r="M95" s="41" t="s">
        <v>29</v>
      </c>
    </row>
    <row r="96" spans="2:13" ht="30" customHeight="1" x14ac:dyDescent="0.45">
      <c r="B96" s="18" t="s">
        <v>1494</v>
      </c>
      <c r="C96" s="10" t="s">
        <v>15</v>
      </c>
      <c r="D96" s="10" t="s">
        <v>1449</v>
      </c>
      <c r="E96" s="10">
        <v>46135</v>
      </c>
      <c r="F96" s="10" t="s">
        <v>1450</v>
      </c>
      <c r="G96" s="12" t="s">
        <v>425</v>
      </c>
      <c r="H96" s="40">
        <v>60</v>
      </c>
      <c r="I96" s="40" t="s">
        <v>41</v>
      </c>
      <c r="J96" s="15" t="s">
        <v>41</v>
      </c>
      <c r="K96" s="15" t="s">
        <v>41</v>
      </c>
      <c r="L96" s="14" t="s">
        <v>1461</v>
      </c>
      <c r="M96" s="41" t="s">
        <v>29</v>
      </c>
    </row>
    <row r="97" spans="2:13" ht="30" customHeight="1" x14ac:dyDescent="0.45">
      <c r="B97" s="18" t="s">
        <v>1494</v>
      </c>
      <c r="C97" s="10" t="s">
        <v>16</v>
      </c>
      <c r="D97" s="10" t="s">
        <v>30</v>
      </c>
      <c r="E97" s="10">
        <v>46135</v>
      </c>
      <c r="F97" s="10" t="s">
        <v>1451</v>
      </c>
      <c r="G97" s="12" t="s">
        <v>1452</v>
      </c>
      <c r="H97" s="40" t="s">
        <v>41</v>
      </c>
      <c r="I97" s="40">
        <v>200</v>
      </c>
      <c r="J97" s="15">
        <v>8</v>
      </c>
      <c r="K97" s="15" t="s">
        <v>1493</v>
      </c>
      <c r="L97" s="14" t="s">
        <v>1487</v>
      </c>
      <c r="M97" s="42" t="s">
        <v>29</v>
      </c>
    </row>
    <row r="98" spans="2:13" ht="30" customHeight="1" x14ac:dyDescent="0.45">
      <c r="B98" s="18" t="s">
        <v>1494</v>
      </c>
      <c r="C98" s="10" t="s">
        <v>12</v>
      </c>
      <c r="D98" s="10" t="s">
        <v>219</v>
      </c>
      <c r="E98" s="10">
        <v>46135</v>
      </c>
      <c r="F98" s="10" t="s">
        <v>1453</v>
      </c>
      <c r="G98" s="12" t="s">
        <v>1454</v>
      </c>
      <c r="H98" s="40" t="s">
        <v>1455</v>
      </c>
      <c r="I98" s="40" t="s">
        <v>41</v>
      </c>
      <c r="J98" s="15" t="s">
        <v>41</v>
      </c>
      <c r="K98" s="15" t="s">
        <v>41</v>
      </c>
      <c r="L98" s="14" t="s">
        <v>1459</v>
      </c>
      <c r="M98" s="42" t="s">
        <v>29</v>
      </c>
    </row>
    <row r="99" spans="2:13" ht="30" customHeight="1" x14ac:dyDescent="0.45">
      <c r="B99" s="18" t="s">
        <v>1494</v>
      </c>
      <c r="C99" s="10" t="s">
        <v>12</v>
      </c>
      <c r="D99" s="10" t="s">
        <v>30</v>
      </c>
      <c r="E99" s="10">
        <v>46133</v>
      </c>
      <c r="F99" s="10" t="s">
        <v>1456</v>
      </c>
      <c r="G99" s="12" t="s">
        <v>1488</v>
      </c>
      <c r="H99" s="40" t="s">
        <v>1457</v>
      </c>
      <c r="I99" s="40" t="s">
        <v>41</v>
      </c>
      <c r="J99" s="15" t="s">
        <v>41</v>
      </c>
      <c r="K99" s="15" t="s">
        <v>41</v>
      </c>
      <c r="L99" s="14" t="s">
        <v>1460</v>
      </c>
      <c r="M99" s="42" t="s">
        <v>29</v>
      </c>
    </row>
    <row r="100" spans="2:13" ht="30" customHeight="1" x14ac:dyDescent="0.45">
      <c r="B100" s="18" t="s">
        <v>1494</v>
      </c>
      <c r="C100" s="10" t="s">
        <v>19</v>
      </c>
      <c r="D100" s="10" t="s">
        <v>30</v>
      </c>
      <c r="E100" s="10">
        <v>46132</v>
      </c>
      <c r="F100" s="10" t="s">
        <v>1489</v>
      </c>
      <c r="G100" s="12" t="s">
        <v>1490</v>
      </c>
      <c r="H100" s="40" t="s">
        <v>41</v>
      </c>
      <c r="I100" s="40" t="s">
        <v>41</v>
      </c>
      <c r="J100" s="15" t="s">
        <v>41</v>
      </c>
      <c r="K100" s="15" t="s">
        <v>41</v>
      </c>
      <c r="L100" s="14" t="s">
        <v>1491</v>
      </c>
      <c r="M100" s="42" t="s">
        <v>29</v>
      </c>
    </row>
    <row r="101" spans="2:13" ht="30" customHeight="1" x14ac:dyDescent="0.45">
      <c r="B101" s="18" t="s">
        <v>1389</v>
      </c>
      <c r="C101" s="10" t="s">
        <v>14</v>
      </c>
      <c r="D101" s="10" t="s">
        <v>30</v>
      </c>
      <c r="E101" s="10">
        <v>46128</v>
      </c>
      <c r="F101" s="10" t="s">
        <v>1424</v>
      </c>
      <c r="G101" s="12" t="s">
        <v>1425</v>
      </c>
      <c r="H101" s="40">
        <v>65</v>
      </c>
      <c r="I101" s="40" t="s">
        <v>41</v>
      </c>
      <c r="J101" s="15" t="s">
        <v>41</v>
      </c>
      <c r="K101" s="15" t="s">
        <v>41</v>
      </c>
      <c r="L101" s="14" t="s">
        <v>1434</v>
      </c>
      <c r="M101" s="42" t="s">
        <v>29</v>
      </c>
    </row>
    <row r="102" spans="2:13" ht="30" customHeight="1" x14ac:dyDescent="0.45">
      <c r="B102" s="18" t="s">
        <v>1389</v>
      </c>
      <c r="C102" s="10" t="s">
        <v>14</v>
      </c>
      <c r="D102" s="10" t="s">
        <v>30</v>
      </c>
      <c r="E102" s="10">
        <v>46128</v>
      </c>
      <c r="F102" s="10" t="s">
        <v>1430</v>
      </c>
      <c r="G102" s="12" t="s">
        <v>1431</v>
      </c>
      <c r="H102" s="40">
        <v>175</v>
      </c>
      <c r="I102" s="40" t="s">
        <v>41</v>
      </c>
      <c r="J102" s="15" t="s">
        <v>41</v>
      </c>
      <c r="K102" s="15" t="s">
        <v>41</v>
      </c>
      <c r="L102" s="14" t="s">
        <v>1438</v>
      </c>
      <c r="M102" s="43" t="s">
        <v>29</v>
      </c>
    </row>
    <row r="103" spans="2:13" ht="30" customHeight="1" x14ac:dyDescent="0.45">
      <c r="B103" s="18" t="s">
        <v>1389</v>
      </c>
      <c r="C103" s="10" t="s">
        <v>15</v>
      </c>
      <c r="D103" s="10" t="s">
        <v>30</v>
      </c>
      <c r="E103" s="10">
        <v>46129</v>
      </c>
      <c r="F103" s="10" t="s">
        <v>1428</v>
      </c>
      <c r="G103" s="12" t="s">
        <v>501</v>
      </c>
      <c r="H103" s="40">
        <v>100</v>
      </c>
      <c r="I103" s="40">
        <v>1400</v>
      </c>
      <c r="J103" s="15" t="s">
        <v>41</v>
      </c>
      <c r="K103" s="15" t="s">
        <v>41</v>
      </c>
      <c r="L103" s="14" t="s">
        <v>1436</v>
      </c>
      <c r="M103" s="42" t="s">
        <v>29</v>
      </c>
    </row>
    <row r="104" spans="2:13" ht="30" customHeight="1" x14ac:dyDescent="0.45">
      <c r="B104" s="18" t="s">
        <v>1389</v>
      </c>
      <c r="C104" s="10" t="s">
        <v>15</v>
      </c>
      <c r="D104" s="10" t="s">
        <v>642</v>
      </c>
      <c r="E104" s="10">
        <v>46128</v>
      </c>
      <c r="F104" s="10" t="s">
        <v>1426</v>
      </c>
      <c r="G104" s="12" t="s">
        <v>1427</v>
      </c>
      <c r="H104" s="40">
        <v>405</v>
      </c>
      <c r="I104" s="40">
        <v>5000</v>
      </c>
      <c r="J104" s="15" t="s">
        <v>41</v>
      </c>
      <c r="K104" s="15" t="s">
        <v>41</v>
      </c>
      <c r="L104" s="14" t="s">
        <v>1435</v>
      </c>
      <c r="M104" s="42" t="s">
        <v>29</v>
      </c>
    </row>
    <row r="105" spans="2:13" ht="30" customHeight="1" x14ac:dyDescent="0.45">
      <c r="B105" s="18" t="s">
        <v>1389</v>
      </c>
      <c r="C105" s="10" t="s">
        <v>16</v>
      </c>
      <c r="D105" s="10" t="s">
        <v>30</v>
      </c>
      <c r="E105" s="10">
        <v>46127</v>
      </c>
      <c r="F105" s="10" t="s">
        <v>943</v>
      </c>
      <c r="G105" s="12" t="s">
        <v>1429</v>
      </c>
      <c r="H105" s="40">
        <v>200</v>
      </c>
      <c r="I105" s="40">
        <v>13300</v>
      </c>
      <c r="J105" s="15" t="s">
        <v>41</v>
      </c>
      <c r="K105" s="15" t="s">
        <v>41</v>
      </c>
      <c r="L105" s="14" t="s">
        <v>1437</v>
      </c>
      <c r="M105" s="42" t="s">
        <v>29</v>
      </c>
    </row>
    <row r="106" spans="2:13" ht="30" customHeight="1" x14ac:dyDescent="0.45">
      <c r="B106" s="18" t="s">
        <v>1389</v>
      </c>
      <c r="C106" s="10" t="s">
        <v>9</v>
      </c>
      <c r="D106" s="10" t="s">
        <v>110</v>
      </c>
      <c r="E106" s="10">
        <v>46128</v>
      </c>
      <c r="F106" s="10" t="s">
        <v>1432</v>
      </c>
      <c r="G106" s="12" t="s">
        <v>1433</v>
      </c>
      <c r="H106" s="40">
        <v>28</v>
      </c>
      <c r="I106" s="40" t="s">
        <v>41</v>
      </c>
      <c r="J106" s="15" t="s">
        <v>41</v>
      </c>
      <c r="K106" s="15" t="s">
        <v>41</v>
      </c>
      <c r="L106" s="14" t="s">
        <v>1439</v>
      </c>
      <c r="M106" s="42" t="s">
        <v>29</v>
      </c>
    </row>
    <row r="107" spans="2:13" ht="30" customHeight="1" x14ac:dyDescent="0.45">
      <c r="B107" s="18" t="s">
        <v>1386</v>
      </c>
      <c r="C107" s="10" t="s">
        <v>15</v>
      </c>
      <c r="D107" s="10"/>
      <c r="E107" s="10">
        <v>46121</v>
      </c>
      <c r="F107" s="10" t="s">
        <v>1345</v>
      </c>
      <c r="G107" s="12" t="s">
        <v>1346</v>
      </c>
      <c r="H107" s="40">
        <v>16</v>
      </c>
      <c r="I107" s="40" t="s">
        <v>41</v>
      </c>
      <c r="J107" s="15"/>
      <c r="K107" s="15"/>
      <c r="L107" s="14" t="s">
        <v>1344</v>
      </c>
      <c r="M107" s="42" t="s">
        <v>29</v>
      </c>
    </row>
    <row r="108" spans="2:13" ht="30" customHeight="1" x14ac:dyDescent="0.45">
      <c r="B108" s="18" t="s">
        <v>1386</v>
      </c>
      <c r="C108" s="10" t="s">
        <v>15</v>
      </c>
      <c r="D108" s="10"/>
      <c r="E108" s="10">
        <v>46121</v>
      </c>
      <c r="F108" s="10" t="s">
        <v>1333</v>
      </c>
      <c r="G108" s="12" t="s">
        <v>1334</v>
      </c>
      <c r="H108" s="40">
        <v>280</v>
      </c>
      <c r="I108" s="40">
        <v>1500</v>
      </c>
      <c r="J108" s="15"/>
      <c r="K108" s="15"/>
      <c r="L108" s="14" t="s">
        <v>1335</v>
      </c>
      <c r="M108" s="42" t="s">
        <v>29</v>
      </c>
    </row>
    <row r="109" spans="2:13" ht="30" customHeight="1" x14ac:dyDescent="0.45">
      <c r="B109" s="18" t="s">
        <v>1386</v>
      </c>
      <c r="C109" s="10" t="s">
        <v>16</v>
      </c>
      <c r="D109" s="10"/>
      <c r="E109" s="10">
        <v>46120</v>
      </c>
      <c r="F109" s="10" t="s">
        <v>1336</v>
      </c>
      <c r="G109" s="12" t="s">
        <v>1337</v>
      </c>
      <c r="H109" s="40">
        <v>60</v>
      </c>
      <c r="I109" s="40">
        <v>325</v>
      </c>
      <c r="J109" s="15"/>
      <c r="K109" s="15"/>
      <c r="L109" s="14" t="s">
        <v>1338</v>
      </c>
      <c r="M109" s="43" t="s">
        <v>29</v>
      </c>
    </row>
    <row r="110" spans="2:13" ht="30" customHeight="1" x14ac:dyDescent="0.45">
      <c r="B110" s="18" t="s">
        <v>1386</v>
      </c>
      <c r="C110" s="10" t="s">
        <v>17</v>
      </c>
      <c r="D110" s="10"/>
      <c r="E110" s="10">
        <v>46119</v>
      </c>
      <c r="F110" s="10" t="s">
        <v>1360</v>
      </c>
      <c r="G110" s="12" t="s">
        <v>1361</v>
      </c>
      <c r="H110" s="40">
        <v>40</v>
      </c>
      <c r="I110" s="40" t="s">
        <v>41</v>
      </c>
      <c r="J110" s="15"/>
      <c r="K110" s="15"/>
      <c r="L110" s="14" t="s">
        <v>1362</v>
      </c>
      <c r="M110" s="43" t="s">
        <v>29</v>
      </c>
    </row>
    <row r="111" spans="2:13" ht="30" customHeight="1" x14ac:dyDescent="0.45">
      <c r="B111" s="18" t="s">
        <v>1386</v>
      </c>
      <c r="C111" s="10" t="s">
        <v>17</v>
      </c>
      <c r="D111" s="10"/>
      <c r="E111" s="10">
        <v>46119</v>
      </c>
      <c r="F111" s="10" t="s">
        <v>1358</v>
      </c>
      <c r="G111" s="12" t="s">
        <v>229</v>
      </c>
      <c r="H111" s="40">
        <v>50</v>
      </c>
      <c r="I111" s="40" t="s">
        <v>41</v>
      </c>
      <c r="J111" s="15"/>
      <c r="K111" s="15"/>
      <c r="L111" s="14" t="s">
        <v>1359</v>
      </c>
      <c r="M111" s="42" t="s">
        <v>29</v>
      </c>
    </row>
    <row r="112" spans="2:13" ht="30" customHeight="1" x14ac:dyDescent="0.45">
      <c r="B112" s="18" t="s">
        <v>1386</v>
      </c>
      <c r="C112" s="10" t="s">
        <v>9</v>
      </c>
      <c r="D112" s="10"/>
      <c r="E112" s="10">
        <v>46121</v>
      </c>
      <c r="F112" s="10" t="s">
        <v>1347</v>
      </c>
      <c r="G112" s="12" t="s">
        <v>425</v>
      </c>
      <c r="H112" s="40">
        <v>25</v>
      </c>
      <c r="I112" s="40" t="s">
        <v>41</v>
      </c>
      <c r="J112" s="15"/>
      <c r="K112" s="15"/>
      <c r="L112" s="14" t="s">
        <v>1348</v>
      </c>
      <c r="M112" s="42" t="s">
        <v>29</v>
      </c>
    </row>
    <row r="113" spans="2:13" ht="30" customHeight="1" x14ac:dyDescent="0.45">
      <c r="B113" s="18" t="s">
        <v>1386</v>
      </c>
      <c r="C113" s="10" t="s">
        <v>19</v>
      </c>
      <c r="D113" s="10"/>
      <c r="E113" s="10">
        <v>46119</v>
      </c>
      <c r="F113" s="10" t="s">
        <v>1340</v>
      </c>
      <c r="G113" s="12" t="s">
        <v>1270</v>
      </c>
      <c r="H113" s="40">
        <v>40</v>
      </c>
      <c r="I113" s="40" t="s">
        <v>41</v>
      </c>
      <c r="J113" s="15"/>
      <c r="K113" s="15"/>
      <c r="L113" s="14" t="s">
        <v>1339</v>
      </c>
      <c r="M113" s="44" t="s">
        <v>29</v>
      </c>
    </row>
    <row r="114" spans="2:13" ht="30" customHeight="1" x14ac:dyDescent="0.45">
      <c r="B114" s="10" t="s">
        <v>1387</v>
      </c>
      <c r="C114" s="10" t="s">
        <v>16</v>
      </c>
      <c r="D114" s="13" t="s">
        <v>110</v>
      </c>
      <c r="E114" s="10">
        <v>46112</v>
      </c>
      <c r="F114" s="10" t="s">
        <v>658</v>
      </c>
      <c r="G114" s="12" t="s">
        <v>659</v>
      </c>
      <c r="H114" s="40">
        <v>170</v>
      </c>
      <c r="I114" s="40">
        <v>1300</v>
      </c>
      <c r="J114" s="15"/>
      <c r="K114" s="15"/>
      <c r="L114" s="14" t="s">
        <v>660</v>
      </c>
      <c r="M114" s="41" t="s">
        <v>29</v>
      </c>
    </row>
    <row r="115" spans="2:13" ht="30" customHeight="1" x14ac:dyDescent="0.45">
      <c r="B115" s="10" t="s">
        <v>1387</v>
      </c>
      <c r="C115" s="10" t="s">
        <v>10</v>
      </c>
      <c r="D115" s="13" t="s">
        <v>133</v>
      </c>
      <c r="E115" s="10">
        <v>46111</v>
      </c>
      <c r="F115" s="10" t="s">
        <v>620</v>
      </c>
      <c r="G115" s="12" t="s">
        <v>661</v>
      </c>
      <c r="H115" s="40">
        <v>36</v>
      </c>
      <c r="I115" s="40" t="s">
        <v>41</v>
      </c>
      <c r="J115" s="15"/>
      <c r="K115" s="15"/>
      <c r="L115" s="14" t="s">
        <v>621</v>
      </c>
      <c r="M115" s="41" t="s">
        <v>29</v>
      </c>
    </row>
    <row r="116" spans="2:13" ht="30" customHeight="1" x14ac:dyDescent="0.45">
      <c r="B116" s="10" t="s">
        <v>1387</v>
      </c>
      <c r="C116" s="10" t="s">
        <v>16</v>
      </c>
      <c r="D116" s="13" t="s">
        <v>133</v>
      </c>
      <c r="E116" s="10">
        <v>46107</v>
      </c>
      <c r="F116" s="10" t="s">
        <v>594</v>
      </c>
      <c r="G116" s="12" t="s">
        <v>595</v>
      </c>
      <c r="H116" s="40">
        <v>63</v>
      </c>
      <c r="I116" s="40" t="s">
        <v>41</v>
      </c>
      <c r="J116" s="15"/>
      <c r="K116" s="15"/>
      <c r="L116" s="14" t="s">
        <v>596</v>
      </c>
      <c r="M116" s="41" t="s">
        <v>29</v>
      </c>
    </row>
    <row r="117" spans="2:13" ht="30" customHeight="1" x14ac:dyDescent="0.45">
      <c r="B117" s="10" t="s">
        <v>1387</v>
      </c>
      <c r="C117" s="10" t="s">
        <v>10</v>
      </c>
      <c r="D117" s="13" t="s">
        <v>30</v>
      </c>
      <c r="E117" s="10">
        <v>46107</v>
      </c>
      <c r="F117" s="10" t="s">
        <v>617</v>
      </c>
      <c r="G117" s="12" t="s">
        <v>618</v>
      </c>
      <c r="H117" s="40">
        <v>140</v>
      </c>
      <c r="I117" s="40" t="s">
        <v>41</v>
      </c>
      <c r="J117" s="15"/>
      <c r="K117" s="15"/>
      <c r="L117" s="14" t="s">
        <v>619</v>
      </c>
      <c r="M117" s="41" t="s">
        <v>29</v>
      </c>
    </row>
    <row r="118" spans="2:13" ht="30" customHeight="1" x14ac:dyDescent="0.45">
      <c r="B118" s="10" t="s">
        <v>1387</v>
      </c>
      <c r="C118" s="10" t="s">
        <v>12</v>
      </c>
      <c r="D118" s="13" t="s">
        <v>30</v>
      </c>
      <c r="E118" s="10">
        <v>46106</v>
      </c>
      <c r="F118" s="10" t="s">
        <v>600</v>
      </c>
      <c r="G118" s="12" t="s">
        <v>601</v>
      </c>
      <c r="H118" s="40">
        <v>35</v>
      </c>
      <c r="I118" s="40" t="s">
        <v>41</v>
      </c>
      <c r="J118" s="15"/>
      <c r="K118" s="15"/>
      <c r="L118" s="14" t="s">
        <v>602</v>
      </c>
      <c r="M118" s="41" t="s">
        <v>29</v>
      </c>
    </row>
    <row r="119" spans="2:13" ht="30" customHeight="1" x14ac:dyDescent="0.45">
      <c r="B119" s="10" t="s">
        <v>1387</v>
      </c>
      <c r="C119" s="10" t="s">
        <v>9</v>
      </c>
      <c r="D119" s="13" t="s">
        <v>30</v>
      </c>
      <c r="E119" s="10">
        <v>46106</v>
      </c>
      <c r="F119" s="10" t="s">
        <v>611</v>
      </c>
      <c r="G119" s="12" t="s">
        <v>612</v>
      </c>
      <c r="H119" s="40">
        <v>30</v>
      </c>
      <c r="I119" s="40" t="s">
        <v>41</v>
      </c>
      <c r="J119" s="15"/>
      <c r="K119" s="15"/>
      <c r="L119" s="14" t="s">
        <v>613</v>
      </c>
      <c r="M119" s="41" t="s">
        <v>29</v>
      </c>
    </row>
    <row r="120" spans="2:13" ht="30" customHeight="1" x14ac:dyDescent="0.45">
      <c r="B120" s="10" t="s">
        <v>1387</v>
      </c>
      <c r="C120" s="10" t="s">
        <v>12</v>
      </c>
      <c r="D120" s="13" t="s">
        <v>30</v>
      </c>
      <c r="E120" s="10">
        <v>46106</v>
      </c>
      <c r="F120" s="10" t="s">
        <v>597</v>
      </c>
      <c r="G120" s="12" t="s">
        <v>598</v>
      </c>
      <c r="H120" s="40">
        <v>40</v>
      </c>
      <c r="I120" s="40">
        <v>328</v>
      </c>
      <c r="J120" s="15"/>
      <c r="K120" s="15"/>
      <c r="L120" s="14" t="s">
        <v>599</v>
      </c>
      <c r="M120" s="41" t="s">
        <v>29</v>
      </c>
    </row>
    <row r="121" spans="2:13" ht="30" customHeight="1" x14ac:dyDescent="0.45">
      <c r="B121" s="10" t="s">
        <v>1387</v>
      </c>
      <c r="C121" s="10" t="s">
        <v>9</v>
      </c>
      <c r="D121" s="13" t="s">
        <v>30</v>
      </c>
      <c r="E121" s="10">
        <v>46105</v>
      </c>
      <c r="F121" s="10" t="s">
        <v>614</v>
      </c>
      <c r="G121" s="12" t="s">
        <v>615</v>
      </c>
      <c r="H121" s="40">
        <v>42</v>
      </c>
      <c r="I121" s="40">
        <v>430</v>
      </c>
      <c r="J121" s="15"/>
      <c r="K121" s="15"/>
      <c r="L121" s="14" t="s">
        <v>616</v>
      </c>
      <c r="M121" s="41" t="s">
        <v>29</v>
      </c>
    </row>
    <row r="122" spans="2:13" ht="30" customHeight="1" x14ac:dyDescent="0.45">
      <c r="B122" s="10" t="s">
        <v>1387</v>
      </c>
      <c r="C122" s="10" t="s">
        <v>12</v>
      </c>
      <c r="D122" s="13" t="s">
        <v>30</v>
      </c>
      <c r="E122" s="10">
        <v>46105</v>
      </c>
      <c r="F122" s="10" t="s">
        <v>603</v>
      </c>
      <c r="G122" s="12" t="s">
        <v>604</v>
      </c>
      <c r="H122" s="40">
        <v>55</v>
      </c>
      <c r="I122" s="40" t="s">
        <v>41</v>
      </c>
      <c r="J122" s="15"/>
      <c r="K122" s="15"/>
      <c r="L122" s="14" t="s">
        <v>605</v>
      </c>
      <c r="M122" s="41" t="s">
        <v>29</v>
      </c>
    </row>
    <row r="123" spans="2:13" ht="30" customHeight="1" x14ac:dyDescent="0.45">
      <c r="B123" s="10" t="s">
        <v>1387</v>
      </c>
      <c r="C123" s="10" t="s">
        <v>17</v>
      </c>
      <c r="D123" s="13" t="s">
        <v>30</v>
      </c>
      <c r="E123" s="10">
        <v>46105</v>
      </c>
      <c r="F123" s="10" t="s">
        <v>606</v>
      </c>
      <c r="G123" s="12" t="s">
        <v>607</v>
      </c>
      <c r="H123" s="40">
        <v>40</v>
      </c>
      <c r="I123" s="40">
        <v>172</v>
      </c>
      <c r="J123" s="15"/>
      <c r="K123" s="15"/>
      <c r="L123" s="14" t="s">
        <v>608</v>
      </c>
      <c r="M123" s="41" t="s">
        <v>29</v>
      </c>
    </row>
    <row r="124" spans="2:13" ht="30" customHeight="1" x14ac:dyDescent="0.45">
      <c r="B124" s="10" t="s">
        <v>1387</v>
      </c>
      <c r="C124" s="10" t="s">
        <v>15</v>
      </c>
      <c r="D124" s="13" t="s">
        <v>30</v>
      </c>
      <c r="E124" s="10">
        <v>46105</v>
      </c>
      <c r="F124" s="10" t="s">
        <v>588</v>
      </c>
      <c r="G124" s="12" t="s">
        <v>589</v>
      </c>
      <c r="H124" s="40">
        <v>30</v>
      </c>
      <c r="I124" s="40">
        <v>159</v>
      </c>
      <c r="J124" s="15"/>
      <c r="K124" s="15"/>
      <c r="L124" s="14" t="s">
        <v>590</v>
      </c>
      <c r="M124" s="41" t="s">
        <v>29</v>
      </c>
    </row>
    <row r="125" spans="2:13" ht="30" customHeight="1" x14ac:dyDescent="0.45">
      <c r="B125" s="10" t="s">
        <v>1387</v>
      </c>
      <c r="C125" s="10" t="s">
        <v>14</v>
      </c>
      <c r="D125" s="13" t="s">
        <v>30</v>
      </c>
      <c r="E125" s="10">
        <v>46100</v>
      </c>
      <c r="F125" s="10" t="s">
        <v>509</v>
      </c>
      <c r="G125" s="12" t="s">
        <v>510</v>
      </c>
      <c r="H125" s="40">
        <v>42</v>
      </c>
      <c r="I125" s="40" t="s">
        <v>41</v>
      </c>
      <c r="J125" s="15"/>
      <c r="K125" s="15"/>
      <c r="L125" s="14" t="s">
        <v>511</v>
      </c>
      <c r="M125" s="41" t="s">
        <v>29</v>
      </c>
    </row>
    <row r="126" spans="2:13" ht="30" customHeight="1" x14ac:dyDescent="0.45">
      <c r="B126" s="10" t="s">
        <v>1387</v>
      </c>
      <c r="C126" s="10" t="s">
        <v>16</v>
      </c>
      <c r="D126" s="13" t="s">
        <v>30</v>
      </c>
      <c r="E126" s="10">
        <v>46100</v>
      </c>
      <c r="F126" s="10" t="s">
        <v>1091</v>
      </c>
      <c r="G126" s="12" t="s">
        <v>1095</v>
      </c>
      <c r="H126" s="40">
        <v>1000</v>
      </c>
      <c r="I126" s="40">
        <v>22000</v>
      </c>
      <c r="J126" s="15"/>
      <c r="K126" s="15"/>
      <c r="L126" s="14" t="s">
        <v>1318</v>
      </c>
      <c r="M126" s="41" t="s">
        <v>29</v>
      </c>
    </row>
    <row r="127" spans="2:13" ht="30" customHeight="1" x14ac:dyDescent="0.45">
      <c r="B127" s="10" t="s">
        <v>1387</v>
      </c>
      <c r="C127" s="10" t="s">
        <v>17</v>
      </c>
      <c r="D127" s="13" t="s">
        <v>30</v>
      </c>
      <c r="E127" s="10">
        <v>46100</v>
      </c>
      <c r="F127" s="10" t="s">
        <v>527</v>
      </c>
      <c r="G127" s="12" t="s">
        <v>296</v>
      </c>
      <c r="H127" s="40">
        <v>375</v>
      </c>
      <c r="I127" s="40" t="s">
        <v>41</v>
      </c>
      <c r="J127" s="15"/>
      <c r="K127" s="15"/>
      <c r="L127" s="14" t="s">
        <v>528</v>
      </c>
      <c r="M127" s="41" t="s">
        <v>29</v>
      </c>
    </row>
    <row r="128" spans="2:13" ht="30" customHeight="1" x14ac:dyDescent="0.45">
      <c r="B128" s="10" t="s">
        <v>1387</v>
      </c>
      <c r="C128" s="10" t="s">
        <v>9</v>
      </c>
      <c r="D128" s="13" t="s">
        <v>271</v>
      </c>
      <c r="E128" s="10">
        <v>46099</v>
      </c>
      <c r="F128" s="10" t="s">
        <v>532</v>
      </c>
      <c r="G128" s="12" t="s">
        <v>533</v>
      </c>
      <c r="H128" s="40">
        <v>25</v>
      </c>
      <c r="I128" s="40" t="s">
        <v>41</v>
      </c>
      <c r="J128" s="15"/>
      <c r="K128" s="15"/>
      <c r="L128" s="14" t="s">
        <v>534</v>
      </c>
      <c r="M128" s="41" t="s">
        <v>29</v>
      </c>
    </row>
    <row r="129" spans="2:13" ht="30" customHeight="1" x14ac:dyDescent="0.45">
      <c r="B129" s="10" t="s">
        <v>1387</v>
      </c>
      <c r="C129" s="10" t="s">
        <v>12</v>
      </c>
      <c r="D129" s="13" t="s">
        <v>30</v>
      </c>
      <c r="E129" s="10">
        <v>46098</v>
      </c>
      <c r="F129" s="10" t="s">
        <v>524</v>
      </c>
      <c r="G129" s="12" t="s">
        <v>525</v>
      </c>
      <c r="H129" s="40">
        <v>73</v>
      </c>
      <c r="I129" s="40" t="s">
        <v>41</v>
      </c>
      <c r="J129" s="15"/>
      <c r="K129" s="15"/>
      <c r="L129" s="14" t="s">
        <v>526</v>
      </c>
      <c r="M129" s="41" t="s">
        <v>29</v>
      </c>
    </row>
    <row r="130" spans="2:13" ht="30" customHeight="1" x14ac:dyDescent="0.45">
      <c r="B130" s="10" t="s">
        <v>1387</v>
      </c>
      <c r="C130" s="10" t="s">
        <v>14</v>
      </c>
      <c r="D130" s="13" t="s">
        <v>95</v>
      </c>
      <c r="E130" s="10">
        <v>46098</v>
      </c>
      <c r="F130" s="10" t="s">
        <v>512</v>
      </c>
      <c r="G130" s="12" t="s">
        <v>513</v>
      </c>
      <c r="H130" s="40">
        <v>125</v>
      </c>
      <c r="I130" s="40" t="s">
        <v>41</v>
      </c>
      <c r="J130" s="15"/>
      <c r="K130" s="15"/>
      <c r="L130" s="14" t="s">
        <v>514</v>
      </c>
      <c r="M130" s="41" t="s">
        <v>29</v>
      </c>
    </row>
    <row r="131" spans="2:13" ht="30" customHeight="1" x14ac:dyDescent="0.45">
      <c r="B131" s="10" t="s">
        <v>1387</v>
      </c>
      <c r="C131" s="10" t="s">
        <v>15</v>
      </c>
      <c r="D131" s="13" t="s">
        <v>30</v>
      </c>
      <c r="E131" s="10">
        <v>46097</v>
      </c>
      <c r="F131" s="10" t="s">
        <v>515</v>
      </c>
      <c r="G131" s="12" t="s">
        <v>516</v>
      </c>
      <c r="H131" s="40">
        <v>25</v>
      </c>
      <c r="I131" s="40" t="s">
        <v>41</v>
      </c>
      <c r="J131" s="15"/>
      <c r="K131" s="15"/>
      <c r="L131" s="14" t="s">
        <v>517</v>
      </c>
      <c r="M131" s="41" t="s">
        <v>29</v>
      </c>
    </row>
    <row r="132" spans="2:13" ht="30" customHeight="1" x14ac:dyDescent="0.45">
      <c r="B132" s="10" t="s">
        <v>1387</v>
      </c>
      <c r="C132" s="10" t="s">
        <v>12</v>
      </c>
      <c r="D132" s="13" t="s">
        <v>30</v>
      </c>
      <c r="E132" s="10">
        <v>46093</v>
      </c>
      <c r="F132" s="10" t="s">
        <v>555</v>
      </c>
      <c r="G132" s="12" t="s">
        <v>556</v>
      </c>
      <c r="H132" s="40">
        <v>100</v>
      </c>
      <c r="I132" s="40">
        <v>570</v>
      </c>
      <c r="J132" s="15"/>
      <c r="K132" s="15"/>
      <c r="L132" s="14" t="s">
        <v>557</v>
      </c>
      <c r="M132" s="41" t="s">
        <v>29</v>
      </c>
    </row>
    <row r="133" spans="2:13" ht="30" customHeight="1" x14ac:dyDescent="0.45">
      <c r="B133" s="10" t="s">
        <v>1387</v>
      </c>
      <c r="C133" s="10" t="s">
        <v>10</v>
      </c>
      <c r="D133" s="13" t="s">
        <v>133</v>
      </c>
      <c r="E133" s="10">
        <v>46092</v>
      </c>
      <c r="F133" s="10" t="s">
        <v>544</v>
      </c>
      <c r="G133" s="12" t="s">
        <v>545</v>
      </c>
      <c r="H133" s="40">
        <v>13</v>
      </c>
      <c r="I133" s="40" t="s">
        <v>41</v>
      </c>
      <c r="J133" s="15"/>
      <c r="K133" s="15"/>
      <c r="L133" s="14" t="s">
        <v>546</v>
      </c>
      <c r="M133" s="41" t="s">
        <v>29</v>
      </c>
    </row>
    <row r="134" spans="2:13" ht="30" customHeight="1" x14ac:dyDescent="0.45">
      <c r="B134" s="10" t="s">
        <v>1387</v>
      </c>
      <c r="C134" s="10" t="s">
        <v>17</v>
      </c>
      <c r="D134" s="13" t="s">
        <v>30</v>
      </c>
      <c r="E134" s="10">
        <v>46092</v>
      </c>
      <c r="F134" s="10" t="s">
        <v>564</v>
      </c>
      <c r="G134" s="12" t="s">
        <v>565</v>
      </c>
      <c r="H134" s="40">
        <v>61</v>
      </c>
      <c r="I134" s="40" t="s">
        <v>41</v>
      </c>
      <c r="J134" s="15"/>
      <c r="K134" s="15"/>
      <c r="L134" s="14" t="s">
        <v>566</v>
      </c>
      <c r="M134" s="41" t="s">
        <v>29</v>
      </c>
    </row>
    <row r="135" spans="2:13" ht="30" customHeight="1" x14ac:dyDescent="0.45">
      <c r="B135" s="10" t="s">
        <v>1387</v>
      </c>
      <c r="C135" s="10" t="s">
        <v>9</v>
      </c>
      <c r="D135" s="13" t="s">
        <v>99</v>
      </c>
      <c r="E135" s="10">
        <v>46092</v>
      </c>
      <c r="F135" s="10" t="s">
        <v>569</v>
      </c>
      <c r="G135" s="12" t="s">
        <v>160</v>
      </c>
      <c r="H135" s="40">
        <v>118</v>
      </c>
      <c r="I135" s="40">
        <v>5880</v>
      </c>
      <c r="J135" s="15"/>
      <c r="K135" s="15"/>
      <c r="L135" s="14" t="s">
        <v>570</v>
      </c>
      <c r="M135" s="41" t="s">
        <v>29</v>
      </c>
    </row>
    <row r="136" spans="2:13" ht="30" customHeight="1" x14ac:dyDescent="0.45">
      <c r="B136" s="10" t="s">
        <v>1387</v>
      </c>
      <c r="C136" s="10" t="s">
        <v>17</v>
      </c>
      <c r="D136" s="13" t="s">
        <v>30</v>
      </c>
      <c r="E136" s="10">
        <v>46091</v>
      </c>
      <c r="F136" s="10" t="s">
        <v>567</v>
      </c>
      <c r="G136" s="12" t="s">
        <v>447</v>
      </c>
      <c r="H136" s="40">
        <v>189</v>
      </c>
      <c r="I136" s="40" t="s">
        <v>41</v>
      </c>
      <c r="J136" s="15"/>
      <c r="K136" s="15"/>
      <c r="L136" s="14" t="s">
        <v>568</v>
      </c>
      <c r="M136" s="41" t="s">
        <v>29</v>
      </c>
    </row>
    <row r="137" spans="2:13" ht="30" customHeight="1" x14ac:dyDescent="0.45">
      <c r="B137" s="10" t="s">
        <v>1387</v>
      </c>
      <c r="C137" s="10" t="s">
        <v>16</v>
      </c>
      <c r="D137" s="13" t="s">
        <v>30</v>
      </c>
      <c r="E137" s="10">
        <v>46091</v>
      </c>
      <c r="F137" s="10" t="s">
        <v>552</v>
      </c>
      <c r="G137" s="12" t="s">
        <v>553</v>
      </c>
      <c r="H137" s="40">
        <v>25</v>
      </c>
      <c r="I137" s="40">
        <v>210</v>
      </c>
      <c r="J137" s="15"/>
      <c r="K137" s="15"/>
      <c r="L137" s="14" t="s">
        <v>554</v>
      </c>
      <c r="M137" s="41" t="s">
        <v>29</v>
      </c>
    </row>
    <row r="138" spans="2:13" ht="30" customHeight="1" x14ac:dyDescent="0.45">
      <c r="B138" s="10" t="s">
        <v>1387</v>
      </c>
      <c r="C138" s="10" t="s">
        <v>15</v>
      </c>
      <c r="D138" s="13" t="s">
        <v>550</v>
      </c>
      <c r="E138" s="10">
        <v>46091</v>
      </c>
      <c r="F138" s="10" t="s">
        <v>549</v>
      </c>
      <c r="G138" s="12" t="s">
        <v>513</v>
      </c>
      <c r="H138" s="40">
        <v>130</v>
      </c>
      <c r="I138" s="40" t="s">
        <v>41</v>
      </c>
      <c r="J138" s="15"/>
      <c r="K138" s="15"/>
      <c r="L138" s="14" t="s">
        <v>551</v>
      </c>
      <c r="M138" s="41" t="s">
        <v>29</v>
      </c>
    </row>
    <row r="139" spans="2:13" ht="30" customHeight="1" x14ac:dyDescent="0.45">
      <c r="B139" s="10" t="s">
        <v>1387</v>
      </c>
      <c r="C139" s="10" t="s">
        <v>10</v>
      </c>
      <c r="D139" s="13" t="s">
        <v>579</v>
      </c>
      <c r="E139" s="10">
        <v>46090</v>
      </c>
      <c r="F139" s="10" t="s">
        <v>577</v>
      </c>
      <c r="G139" s="12" t="s">
        <v>578</v>
      </c>
      <c r="H139" s="40">
        <v>80</v>
      </c>
      <c r="I139" s="40">
        <v>600</v>
      </c>
      <c r="J139" s="15"/>
      <c r="K139" s="15"/>
      <c r="L139" s="14" t="s">
        <v>580</v>
      </c>
      <c r="M139" s="41" t="s">
        <v>29</v>
      </c>
    </row>
    <row r="140" spans="2:13" ht="30" customHeight="1" x14ac:dyDescent="0.45">
      <c r="B140" s="10" t="s">
        <v>1387</v>
      </c>
      <c r="C140" s="10" t="s">
        <v>15</v>
      </c>
      <c r="D140" s="13" t="s">
        <v>161</v>
      </c>
      <c r="E140" s="10">
        <v>46087</v>
      </c>
      <c r="F140" s="10" t="s">
        <v>426</v>
      </c>
      <c r="G140" s="12" t="s">
        <v>429</v>
      </c>
      <c r="H140" s="40">
        <v>300</v>
      </c>
      <c r="I140" s="40" t="s">
        <v>41</v>
      </c>
      <c r="J140" s="15"/>
      <c r="K140" s="15"/>
      <c r="L140" s="14" t="s">
        <v>428</v>
      </c>
      <c r="M140" s="41" t="s">
        <v>29</v>
      </c>
    </row>
    <row r="141" spans="2:13" ht="30" customHeight="1" x14ac:dyDescent="0.45">
      <c r="B141" s="10" t="s">
        <v>1387</v>
      </c>
      <c r="C141" s="10" t="s">
        <v>10</v>
      </c>
      <c r="D141" s="13" t="s">
        <v>42</v>
      </c>
      <c r="E141" s="10">
        <v>46086</v>
      </c>
      <c r="F141" s="10" t="s">
        <v>503</v>
      </c>
      <c r="G141" s="12" t="s">
        <v>504</v>
      </c>
      <c r="H141" s="40">
        <v>40</v>
      </c>
      <c r="I141" s="40" t="s">
        <v>41</v>
      </c>
      <c r="J141" s="15"/>
      <c r="K141" s="15"/>
      <c r="L141" s="14" t="s">
        <v>505</v>
      </c>
      <c r="M141" s="41" t="s">
        <v>29</v>
      </c>
    </row>
    <row r="142" spans="2:13" ht="30" customHeight="1" x14ac:dyDescent="0.45">
      <c r="B142" s="10" t="s">
        <v>1387</v>
      </c>
      <c r="C142" s="10" t="s">
        <v>17</v>
      </c>
      <c r="D142" s="13" t="s">
        <v>144</v>
      </c>
      <c r="E142" s="10">
        <v>46086</v>
      </c>
      <c r="F142" s="10" t="s">
        <v>500</v>
      </c>
      <c r="G142" s="12" t="s">
        <v>501</v>
      </c>
      <c r="H142" s="40">
        <v>25</v>
      </c>
      <c r="I142" s="40" t="s">
        <v>41</v>
      </c>
      <c r="J142" s="15"/>
      <c r="K142" s="15"/>
      <c r="L142" s="14" t="s">
        <v>502</v>
      </c>
      <c r="M142" s="41" t="s">
        <v>29</v>
      </c>
    </row>
    <row r="143" spans="2:13" ht="30" customHeight="1" x14ac:dyDescent="0.45">
      <c r="B143" s="10" t="s">
        <v>1387</v>
      </c>
      <c r="C143" s="10" t="s">
        <v>12</v>
      </c>
      <c r="D143" s="13" t="s">
        <v>99</v>
      </c>
      <c r="E143" s="10">
        <v>46085</v>
      </c>
      <c r="F143" s="10" t="s">
        <v>558</v>
      </c>
      <c r="G143" s="12" t="s">
        <v>559</v>
      </c>
      <c r="H143" s="40">
        <v>45</v>
      </c>
      <c r="I143" s="40" t="s">
        <v>41</v>
      </c>
      <c r="J143" s="15"/>
      <c r="K143" s="15"/>
      <c r="L143" s="14" t="s">
        <v>560</v>
      </c>
      <c r="M143" s="41" t="s">
        <v>29</v>
      </c>
    </row>
    <row r="144" spans="2:13" ht="30" customHeight="1" x14ac:dyDescent="0.45">
      <c r="B144" s="10" t="s">
        <v>1387</v>
      </c>
      <c r="C144" s="10" t="s">
        <v>16</v>
      </c>
      <c r="D144" s="13" t="s">
        <v>30</v>
      </c>
      <c r="E144" s="10">
        <v>46085</v>
      </c>
      <c r="F144" s="10" t="s">
        <v>494</v>
      </c>
      <c r="G144" s="12" t="s">
        <v>495</v>
      </c>
      <c r="H144" s="40">
        <v>31</v>
      </c>
      <c r="I144" s="40">
        <v>205</v>
      </c>
      <c r="J144" s="15"/>
      <c r="K144" s="15"/>
      <c r="L144" s="14" t="s">
        <v>496</v>
      </c>
      <c r="M144" s="41" t="s">
        <v>29</v>
      </c>
    </row>
    <row r="145" spans="2:13" ht="30" customHeight="1" x14ac:dyDescent="0.45">
      <c r="B145" s="10" t="s">
        <v>1387</v>
      </c>
      <c r="C145" s="10" t="s">
        <v>19</v>
      </c>
      <c r="D145" s="13" t="s">
        <v>507</v>
      </c>
      <c r="E145" s="10">
        <v>46084</v>
      </c>
      <c r="F145" s="10" t="s">
        <v>506</v>
      </c>
      <c r="G145" s="12" t="s">
        <v>425</v>
      </c>
      <c r="H145" s="40">
        <v>118</v>
      </c>
      <c r="I145" s="40" t="s">
        <v>41</v>
      </c>
      <c r="J145" s="15"/>
      <c r="K145" s="15"/>
      <c r="L145" s="14" t="s">
        <v>508</v>
      </c>
      <c r="M145" s="41" t="s">
        <v>29</v>
      </c>
    </row>
    <row r="146" spans="2:13" ht="30" customHeight="1" x14ac:dyDescent="0.45">
      <c r="B146" s="10" t="s">
        <v>1387</v>
      </c>
      <c r="C146" s="10" t="s">
        <v>17</v>
      </c>
      <c r="D146" s="13" t="s">
        <v>30</v>
      </c>
      <c r="E146" s="10">
        <v>46079</v>
      </c>
      <c r="F146" s="10" t="s">
        <v>480</v>
      </c>
      <c r="G146" s="12" t="s">
        <v>425</v>
      </c>
      <c r="H146" s="40" t="s">
        <v>41</v>
      </c>
      <c r="I146" s="40">
        <v>8000</v>
      </c>
      <c r="J146" s="15"/>
      <c r="K146" s="15"/>
      <c r="L146" s="14" t="s">
        <v>481</v>
      </c>
      <c r="M146" s="41" t="s">
        <v>29</v>
      </c>
    </row>
    <row r="147" spans="2:13" ht="30" customHeight="1" x14ac:dyDescent="0.45">
      <c r="B147" s="10" t="s">
        <v>1387</v>
      </c>
      <c r="C147" s="10" t="s">
        <v>9</v>
      </c>
      <c r="D147" s="13" t="s">
        <v>30</v>
      </c>
      <c r="E147" s="10">
        <v>46078</v>
      </c>
      <c r="F147" s="10" t="s">
        <v>482</v>
      </c>
      <c r="G147" s="12" t="s">
        <v>483</v>
      </c>
      <c r="H147" s="40">
        <v>47</v>
      </c>
      <c r="I147" s="40" t="s">
        <v>41</v>
      </c>
      <c r="J147" s="15"/>
      <c r="K147" s="15"/>
      <c r="L147" s="14" t="s">
        <v>484</v>
      </c>
      <c r="M147" s="41" t="s">
        <v>29</v>
      </c>
    </row>
    <row r="148" spans="2:13" ht="30" customHeight="1" x14ac:dyDescent="0.45">
      <c r="B148" s="10" t="s">
        <v>1387</v>
      </c>
      <c r="C148" s="10" t="s">
        <v>12</v>
      </c>
      <c r="D148" s="13" t="s">
        <v>30</v>
      </c>
      <c r="E148" s="10">
        <v>46078</v>
      </c>
      <c r="F148" s="10" t="s">
        <v>477</v>
      </c>
      <c r="G148" s="12" t="s">
        <v>478</v>
      </c>
      <c r="H148" s="40">
        <v>40</v>
      </c>
      <c r="I148" s="40">
        <v>200</v>
      </c>
      <c r="J148" s="15"/>
      <c r="K148" s="15"/>
      <c r="L148" s="14" t="s">
        <v>479</v>
      </c>
      <c r="M148" s="41" t="s">
        <v>29</v>
      </c>
    </row>
    <row r="149" spans="2:13" ht="30" customHeight="1" x14ac:dyDescent="0.45">
      <c r="B149" s="10" t="s">
        <v>1387</v>
      </c>
      <c r="C149" s="10" t="s">
        <v>12</v>
      </c>
      <c r="D149" s="13" t="s">
        <v>30</v>
      </c>
      <c r="E149" s="10">
        <v>46077</v>
      </c>
      <c r="F149" s="10" t="s">
        <v>446</v>
      </c>
      <c r="G149" s="12" t="s">
        <v>447</v>
      </c>
      <c r="H149" s="40">
        <v>100</v>
      </c>
      <c r="I149" s="40">
        <v>1150</v>
      </c>
      <c r="J149" s="15"/>
      <c r="K149" s="15"/>
      <c r="L149" s="14" t="s">
        <v>448</v>
      </c>
      <c r="M149" s="41" t="s">
        <v>29</v>
      </c>
    </row>
    <row r="150" spans="2:13" ht="30" customHeight="1" x14ac:dyDescent="0.45">
      <c r="B150" s="10" t="s">
        <v>1387</v>
      </c>
      <c r="C150" s="10" t="s">
        <v>10</v>
      </c>
      <c r="D150" s="13" t="s">
        <v>36</v>
      </c>
      <c r="E150" s="10">
        <v>46077</v>
      </c>
      <c r="F150" s="10" t="s">
        <v>449</v>
      </c>
      <c r="G150" s="12" t="s">
        <v>296</v>
      </c>
      <c r="H150" s="40">
        <v>17</v>
      </c>
      <c r="I150" s="40" t="s">
        <v>41</v>
      </c>
      <c r="J150" s="15"/>
      <c r="K150" s="15"/>
      <c r="L150" s="14" t="s">
        <v>450</v>
      </c>
      <c r="M150" s="41" t="s">
        <v>29</v>
      </c>
    </row>
    <row r="151" spans="2:13" ht="30" customHeight="1" x14ac:dyDescent="0.45">
      <c r="B151" s="10" t="s">
        <v>1387</v>
      </c>
      <c r="C151" s="10" t="s">
        <v>15</v>
      </c>
      <c r="D151" s="13" t="s">
        <v>110</v>
      </c>
      <c r="E151" s="10">
        <v>46077</v>
      </c>
      <c r="F151" s="10" t="s">
        <v>471</v>
      </c>
      <c r="G151" s="12" t="s">
        <v>472</v>
      </c>
      <c r="H151" s="40">
        <v>151</v>
      </c>
      <c r="I151" s="40">
        <v>1210</v>
      </c>
      <c r="J151" s="15"/>
      <c r="K151" s="15"/>
      <c r="L151" s="14" t="s">
        <v>473</v>
      </c>
      <c r="M151" s="41" t="s">
        <v>29</v>
      </c>
    </row>
    <row r="152" spans="2:13" ht="30" customHeight="1" x14ac:dyDescent="0.45">
      <c r="B152" s="10" t="s">
        <v>1387</v>
      </c>
      <c r="C152" s="10" t="s">
        <v>15</v>
      </c>
      <c r="D152" s="13" t="s">
        <v>30</v>
      </c>
      <c r="E152" s="10">
        <v>46073</v>
      </c>
      <c r="F152" s="10" t="s">
        <v>424</v>
      </c>
      <c r="G152" s="12" t="s">
        <v>425</v>
      </c>
      <c r="H152" s="40">
        <v>45</v>
      </c>
      <c r="I152" s="40" t="s">
        <v>41</v>
      </c>
      <c r="J152" s="15"/>
      <c r="K152" s="15"/>
      <c r="L152" s="14" t="s">
        <v>427</v>
      </c>
      <c r="M152" s="41" t="s">
        <v>29</v>
      </c>
    </row>
    <row r="153" spans="2:13" ht="30" customHeight="1" x14ac:dyDescent="0.45">
      <c r="B153" s="10" t="s">
        <v>1387</v>
      </c>
      <c r="C153" s="10" t="s">
        <v>12</v>
      </c>
      <c r="D153" s="13" t="s">
        <v>42</v>
      </c>
      <c r="E153" s="10">
        <v>46072</v>
      </c>
      <c r="F153" s="10" t="s">
        <v>430</v>
      </c>
      <c r="G153" s="12" t="s">
        <v>431</v>
      </c>
      <c r="H153" s="40">
        <v>23</v>
      </c>
      <c r="I153" s="40" t="s">
        <v>41</v>
      </c>
      <c r="J153" s="15"/>
      <c r="K153" s="15"/>
      <c r="L153" s="14" t="s">
        <v>432</v>
      </c>
      <c r="M153" s="41" t="s">
        <v>29</v>
      </c>
    </row>
    <row r="154" spans="2:13" ht="30" customHeight="1" x14ac:dyDescent="0.45">
      <c r="B154" s="10" t="s">
        <v>1387</v>
      </c>
      <c r="C154" s="10" t="s">
        <v>19</v>
      </c>
      <c r="D154" s="13" t="s">
        <v>30</v>
      </c>
      <c r="E154" s="10">
        <v>46072</v>
      </c>
      <c r="F154" s="10" t="s">
        <v>443</v>
      </c>
      <c r="G154" s="12" t="s">
        <v>444</v>
      </c>
      <c r="H154" s="40">
        <v>87</v>
      </c>
      <c r="I154" s="40" t="s">
        <v>41</v>
      </c>
      <c r="J154" s="15"/>
      <c r="K154" s="15"/>
      <c r="L154" s="14" t="s">
        <v>445</v>
      </c>
      <c r="M154" s="41" t="s">
        <v>29</v>
      </c>
    </row>
    <row r="155" spans="2:13" ht="30" customHeight="1" x14ac:dyDescent="0.45">
      <c r="B155" s="10" t="s">
        <v>1387</v>
      </c>
      <c r="C155" s="10" t="s">
        <v>14</v>
      </c>
      <c r="D155" s="13" t="s">
        <v>30</v>
      </c>
      <c r="E155" s="10">
        <v>46072</v>
      </c>
      <c r="F155" s="10" t="s">
        <v>414</v>
      </c>
      <c r="G155" s="12" t="s">
        <v>229</v>
      </c>
      <c r="H155" s="40">
        <v>80</v>
      </c>
      <c r="I155" s="40">
        <v>525</v>
      </c>
      <c r="J155" s="15"/>
      <c r="K155" s="15"/>
      <c r="L155" s="14" t="s">
        <v>415</v>
      </c>
      <c r="M155" s="41" t="s">
        <v>29</v>
      </c>
    </row>
    <row r="156" spans="2:13" ht="30" customHeight="1" x14ac:dyDescent="0.45">
      <c r="B156" s="10" t="s">
        <v>1387</v>
      </c>
      <c r="C156" s="10" t="s">
        <v>10</v>
      </c>
      <c r="D156" s="13" t="s">
        <v>30</v>
      </c>
      <c r="E156" s="10">
        <v>46071</v>
      </c>
      <c r="F156" s="10" t="s">
        <v>457</v>
      </c>
      <c r="G156" s="12" t="s">
        <v>458</v>
      </c>
      <c r="H156" s="40">
        <v>15</v>
      </c>
      <c r="I156" s="40">
        <v>91</v>
      </c>
      <c r="J156" s="15"/>
      <c r="K156" s="15"/>
      <c r="L156" s="14" t="s">
        <v>459</v>
      </c>
      <c r="M156" s="41" t="s">
        <v>29</v>
      </c>
    </row>
    <row r="157" spans="2:13" ht="30" customHeight="1" x14ac:dyDescent="0.45">
      <c r="B157" s="10" t="s">
        <v>1387</v>
      </c>
      <c r="C157" s="10" t="s">
        <v>14</v>
      </c>
      <c r="D157" s="13" t="s">
        <v>30</v>
      </c>
      <c r="E157" s="10">
        <v>46071</v>
      </c>
      <c r="F157" s="10" t="s">
        <v>421</v>
      </c>
      <c r="G157" s="12" t="s">
        <v>422</v>
      </c>
      <c r="H157" s="40">
        <v>385</v>
      </c>
      <c r="I157" s="40">
        <v>3300</v>
      </c>
      <c r="J157" s="15"/>
      <c r="K157" s="15"/>
      <c r="L157" s="14" t="s">
        <v>423</v>
      </c>
      <c r="M157" s="41" t="s">
        <v>29</v>
      </c>
    </row>
    <row r="158" spans="2:13" ht="30" customHeight="1" x14ac:dyDescent="0.45">
      <c r="B158" s="10" t="s">
        <v>1387</v>
      </c>
      <c r="C158" s="10" t="s">
        <v>14</v>
      </c>
      <c r="D158" s="13" t="s">
        <v>30</v>
      </c>
      <c r="E158" s="10">
        <v>46071</v>
      </c>
      <c r="F158" s="10" t="s">
        <v>419</v>
      </c>
      <c r="G158" s="12" t="s">
        <v>79</v>
      </c>
      <c r="H158" s="40">
        <v>35</v>
      </c>
      <c r="I158" s="40" t="s">
        <v>41</v>
      </c>
      <c r="J158" s="15"/>
      <c r="K158" s="15"/>
      <c r="L158" s="14" t="s">
        <v>420</v>
      </c>
      <c r="M158" s="41" t="s">
        <v>29</v>
      </c>
    </row>
    <row r="159" spans="2:13" ht="30" customHeight="1" x14ac:dyDescent="0.45">
      <c r="B159" s="10" t="s">
        <v>1387</v>
      </c>
      <c r="C159" s="10" t="s">
        <v>17</v>
      </c>
      <c r="D159" s="13" t="s">
        <v>110</v>
      </c>
      <c r="E159" s="10">
        <v>46070</v>
      </c>
      <c r="F159" s="10" t="s">
        <v>436</v>
      </c>
      <c r="G159" s="12" t="s">
        <v>437</v>
      </c>
      <c r="H159" s="40">
        <v>25</v>
      </c>
      <c r="I159" s="40">
        <v>196</v>
      </c>
      <c r="J159" s="15"/>
      <c r="K159" s="15"/>
      <c r="L159" s="14" t="s">
        <v>438</v>
      </c>
      <c r="M159" s="41" t="s">
        <v>29</v>
      </c>
    </row>
    <row r="160" spans="2:13" ht="30" customHeight="1" x14ac:dyDescent="0.45">
      <c r="B160" s="10" t="s">
        <v>1387</v>
      </c>
      <c r="C160" s="10" t="s">
        <v>19</v>
      </c>
      <c r="D160" s="13" t="s">
        <v>357</v>
      </c>
      <c r="E160" s="10">
        <v>46070</v>
      </c>
      <c r="F160" s="10" t="s">
        <v>355</v>
      </c>
      <c r="G160" s="12" t="s">
        <v>356</v>
      </c>
      <c r="H160" s="40">
        <v>31</v>
      </c>
      <c r="I160" s="40" t="s">
        <v>41</v>
      </c>
      <c r="J160" s="15"/>
      <c r="K160" s="15"/>
      <c r="L160" s="14" t="s">
        <v>358</v>
      </c>
      <c r="M160" s="41" t="s">
        <v>29</v>
      </c>
    </row>
    <row r="161" spans="2:13" ht="30" customHeight="1" x14ac:dyDescent="0.45">
      <c r="B161" s="10" t="s">
        <v>1387</v>
      </c>
      <c r="C161" s="10" t="s">
        <v>9</v>
      </c>
      <c r="D161" s="13" t="s">
        <v>361</v>
      </c>
      <c r="E161" s="10">
        <v>46069</v>
      </c>
      <c r="F161" s="10" t="s">
        <v>359</v>
      </c>
      <c r="G161" s="12" t="s">
        <v>360</v>
      </c>
      <c r="H161" s="40">
        <v>50</v>
      </c>
      <c r="I161" s="40" t="s">
        <v>41</v>
      </c>
      <c r="J161" s="15"/>
      <c r="K161" s="15"/>
      <c r="L161" s="14" t="s">
        <v>362</v>
      </c>
      <c r="M161" s="41" t="s">
        <v>29</v>
      </c>
    </row>
    <row r="162" spans="2:13" ht="30" customHeight="1" x14ac:dyDescent="0.45">
      <c r="B162" s="10" t="s">
        <v>1387</v>
      </c>
      <c r="C162" s="10" t="s">
        <v>10</v>
      </c>
      <c r="D162" s="13" t="s">
        <v>441</v>
      </c>
      <c r="E162" s="10">
        <v>46068</v>
      </c>
      <c r="F162" s="10" t="s">
        <v>439</v>
      </c>
      <c r="G162" s="12" t="s">
        <v>440</v>
      </c>
      <c r="H162" s="40">
        <v>25</v>
      </c>
      <c r="I162" s="40" t="s">
        <v>41</v>
      </c>
      <c r="J162" s="15"/>
      <c r="K162" s="15"/>
      <c r="L162" s="14" t="s">
        <v>442</v>
      </c>
      <c r="M162" s="41" t="s">
        <v>29</v>
      </c>
    </row>
    <row r="163" spans="2:13" ht="30" customHeight="1" x14ac:dyDescent="0.45">
      <c r="B163" s="10" t="s">
        <v>1387</v>
      </c>
      <c r="C163" s="10" t="s">
        <v>17</v>
      </c>
      <c r="D163" s="13" t="s">
        <v>36</v>
      </c>
      <c r="E163" s="10">
        <v>46066</v>
      </c>
      <c r="F163" s="10" t="s">
        <v>433</v>
      </c>
      <c r="G163" s="12" t="s">
        <v>434</v>
      </c>
      <c r="H163" s="40">
        <v>52</v>
      </c>
      <c r="I163" s="40" t="s">
        <v>41</v>
      </c>
      <c r="J163" s="15"/>
      <c r="K163" s="15"/>
      <c r="L163" s="14" t="s">
        <v>435</v>
      </c>
      <c r="M163" s="41" t="s">
        <v>29</v>
      </c>
    </row>
    <row r="164" spans="2:13" ht="30" customHeight="1" x14ac:dyDescent="0.45">
      <c r="B164" s="10" t="s">
        <v>1387</v>
      </c>
      <c r="C164" s="10" t="s">
        <v>16</v>
      </c>
      <c r="D164" s="13" t="s">
        <v>30</v>
      </c>
      <c r="E164" s="10">
        <v>46065</v>
      </c>
      <c r="F164" s="10" t="s">
        <v>363</v>
      </c>
      <c r="G164" s="12" t="s">
        <v>364</v>
      </c>
      <c r="H164" s="40">
        <v>0</v>
      </c>
      <c r="I164" s="40" t="s">
        <v>41</v>
      </c>
      <c r="J164" s="15"/>
      <c r="K164" s="15"/>
      <c r="L164" s="14" t="s">
        <v>365</v>
      </c>
      <c r="M164" s="41" t="s">
        <v>29</v>
      </c>
    </row>
    <row r="165" spans="2:13" ht="30" customHeight="1" x14ac:dyDescent="0.45">
      <c r="B165" s="10" t="s">
        <v>1387</v>
      </c>
      <c r="C165" s="10" t="s">
        <v>15</v>
      </c>
      <c r="D165" s="13" t="s">
        <v>30</v>
      </c>
      <c r="E165" s="10">
        <v>46065</v>
      </c>
      <c r="F165" s="10" t="s">
        <v>319</v>
      </c>
      <c r="G165" s="12" t="s">
        <v>320</v>
      </c>
      <c r="H165" s="40">
        <v>25</v>
      </c>
      <c r="I165" s="40" t="s">
        <v>41</v>
      </c>
      <c r="J165" s="15"/>
      <c r="K165" s="15"/>
      <c r="L165" s="14" t="s">
        <v>321</v>
      </c>
      <c r="M165" s="41" t="s">
        <v>29</v>
      </c>
    </row>
    <row r="166" spans="2:13" ht="30" customHeight="1" x14ac:dyDescent="0.45">
      <c r="B166" s="10" t="s">
        <v>1387</v>
      </c>
      <c r="C166" s="10" t="s">
        <v>19</v>
      </c>
      <c r="D166" s="13" t="s">
        <v>110</v>
      </c>
      <c r="E166" s="10">
        <v>46065</v>
      </c>
      <c r="F166" s="10" t="s">
        <v>352</v>
      </c>
      <c r="G166" s="12" t="s">
        <v>353</v>
      </c>
      <c r="H166" s="40">
        <v>21</v>
      </c>
      <c r="I166" s="40">
        <v>131</v>
      </c>
      <c r="J166" s="15"/>
      <c r="K166" s="15"/>
      <c r="L166" s="14" t="s">
        <v>354</v>
      </c>
      <c r="M166" s="41" t="s">
        <v>29</v>
      </c>
    </row>
    <row r="167" spans="2:13" ht="30" customHeight="1" x14ac:dyDescent="0.45">
      <c r="B167" s="10" t="s">
        <v>1387</v>
      </c>
      <c r="C167" s="10" t="s">
        <v>9</v>
      </c>
      <c r="D167" s="13" t="s">
        <v>267</v>
      </c>
      <c r="E167" s="10">
        <v>46065</v>
      </c>
      <c r="F167" s="10" t="s">
        <v>343</v>
      </c>
      <c r="G167" s="12" t="s">
        <v>344</v>
      </c>
      <c r="H167" s="40">
        <v>75</v>
      </c>
      <c r="I167" s="40">
        <v>400</v>
      </c>
      <c r="J167" s="15"/>
      <c r="K167" s="15"/>
      <c r="L167" s="14" t="s">
        <v>345</v>
      </c>
      <c r="M167" s="41" t="s">
        <v>29</v>
      </c>
    </row>
    <row r="168" spans="2:13" ht="30" customHeight="1" x14ac:dyDescent="0.45">
      <c r="B168" s="10" t="s">
        <v>1387</v>
      </c>
      <c r="C168" s="10" t="s">
        <v>17</v>
      </c>
      <c r="D168" s="13" t="s">
        <v>30</v>
      </c>
      <c r="E168" s="10">
        <v>46063</v>
      </c>
      <c r="F168" s="10" t="s">
        <v>337</v>
      </c>
      <c r="G168" s="12" t="s">
        <v>338</v>
      </c>
      <c r="H168" s="40">
        <v>75</v>
      </c>
      <c r="I168" s="40">
        <v>505</v>
      </c>
      <c r="J168" s="15"/>
      <c r="K168" s="15"/>
      <c r="L168" s="14" t="s">
        <v>339</v>
      </c>
      <c r="M168" s="41" t="s">
        <v>29</v>
      </c>
    </row>
    <row r="169" spans="2:13" ht="30" customHeight="1" x14ac:dyDescent="0.45">
      <c r="B169" s="10" t="s">
        <v>1387</v>
      </c>
      <c r="C169" s="10" t="s">
        <v>12</v>
      </c>
      <c r="D169" s="13" t="s">
        <v>144</v>
      </c>
      <c r="E169" s="10">
        <v>46063</v>
      </c>
      <c r="F169" s="10" t="s">
        <v>332</v>
      </c>
      <c r="G169" s="12" t="s">
        <v>196</v>
      </c>
      <c r="H169" s="40">
        <v>22</v>
      </c>
      <c r="I169" s="40" t="s">
        <v>41</v>
      </c>
      <c r="J169" s="15"/>
      <c r="K169" s="15"/>
      <c r="L169" s="14" t="s">
        <v>333</v>
      </c>
      <c r="M169" s="41" t="s">
        <v>29</v>
      </c>
    </row>
    <row r="170" spans="2:13" ht="30" customHeight="1" x14ac:dyDescent="0.45">
      <c r="B170" s="10" t="s">
        <v>1387</v>
      </c>
      <c r="C170" s="10" t="s">
        <v>10</v>
      </c>
      <c r="D170" s="13" t="s">
        <v>30</v>
      </c>
      <c r="E170" s="10">
        <v>46063</v>
      </c>
      <c r="F170" s="10" t="s">
        <v>656</v>
      </c>
      <c r="G170" s="12" t="s">
        <v>447</v>
      </c>
      <c r="H170" s="40">
        <v>94</v>
      </c>
      <c r="I170" s="40" t="s">
        <v>41</v>
      </c>
      <c r="J170" s="15"/>
      <c r="K170" s="15"/>
      <c r="L170" s="14" t="s">
        <v>657</v>
      </c>
      <c r="M170" s="41" t="s">
        <v>29</v>
      </c>
    </row>
    <row r="171" spans="2:13" ht="30" customHeight="1" x14ac:dyDescent="0.45">
      <c r="B171" s="10" t="s">
        <v>1387</v>
      </c>
      <c r="C171" s="10" t="s">
        <v>9</v>
      </c>
      <c r="D171" s="13" t="s">
        <v>110</v>
      </c>
      <c r="E171" s="10">
        <v>46062</v>
      </c>
      <c r="F171" s="10" t="s">
        <v>346</v>
      </c>
      <c r="G171" s="12" t="s">
        <v>347</v>
      </c>
      <c r="H171" s="40">
        <v>20</v>
      </c>
      <c r="I171" s="40" t="s">
        <v>41</v>
      </c>
      <c r="J171" s="15"/>
      <c r="K171" s="15"/>
      <c r="L171" s="14" t="s">
        <v>348</v>
      </c>
      <c r="M171" s="41" t="s">
        <v>29</v>
      </c>
    </row>
    <row r="172" spans="2:13" ht="30" customHeight="1" x14ac:dyDescent="0.45">
      <c r="B172" s="10" t="s">
        <v>1387</v>
      </c>
      <c r="C172" s="10" t="s">
        <v>12</v>
      </c>
      <c r="D172" s="13" t="s">
        <v>30</v>
      </c>
      <c r="E172" s="10">
        <v>46058</v>
      </c>
      <c r="F172" s="10" t="s">
        <v>292</v>
      </c>
      <c r="G172" s="12" t="s">
        <v>293</v>
      </c>
      <c r="H172" s="40">
        <v>28</v>
      </c>
      <c r="I172" s="40">
        <v>85</v>
      </c>
      <c r="J172" s="15"/>
      <c r="K172" s="15"/>
      <c r="L172" s="14" t="s">
        <v>294</v>
      </c>
      <c r="M172" s="41" t="s">
        <v>29</v>
      </c>
    </row>
    <row r="173" spans="2:13" ht="30" customHeight="1" x14ac:dyDescent="0.45">
      <c r="B173" s="10" t="s">
        <v>1387</v>
      </c>
      <c r="C173" s="10" t="s">
        <v>16</v>
      </c>
      <c r="D173" s="13" t="s">
        <v>30</v>
      </c>
      <c r="E173" s="10">
        <v>46058</v>
      </c>
      <c r="F173" s="10" t="s">
        <v>366</v>
      </c>
      <c r="G173" s="12" t="s">
        <v>367</v>
      </c>
      <c r="H173" s="40">
        <v>100</v>
      </c>
      <c r="I173" s="40" t="s">
        <v>41</v>
      </c>
      <c r="J173" s="15"/>
      <c r="K173" s="15"/>
      <c r="L173" s="14" t="s">
        <v>368</v>
      </c>
      <c r="M173" s="41" t="s">
        <v>29</v>
      </c>
    </row>
    <row r="174" spans="2:13" ht="30" customHeight="1" x14ac:dyDescent="0.45">
      <c r="B174" s="10" t="s">
        <v>1387</v>
      </c>
      <c r="C174" s="10" t="s">
        <v>17</v>
      </c>
      <c r="D174" s="13" t="s">
        <v>42</v>
      </c>
      <c r="E174" s="10">
        <v>46058</v>
      </c>
      <c r="F174" s="10" t="s">
        <v>298</v>
      </c>
      <c r="G174" s="12" t="s">
        <v>299</v>
      </c>
      <c r="H174" s="40">
        <v>35</v>
      </c>
      <c r="I174" s="40" t="s">
        <v>41</v>
      </c>
      <c r="J174" s="15"/>
      <c r="K174" s="15"/>
      <c r="L174" s="14" t="s">
        <v>300</v>
      </c>
      <c r="M174" s="41" t="s">
        <v>29</v>
      </c>
    </row>
    <row r="175" spans="2:13" ht="30" customHeight="1" x14ac:dyDescent="0.45">
      <c r="B175" s="10" t="s">
        <v>1387</v>
      </c>
      <c r="C175" s="10" t="s">
        <v>12</v>
      </c>
      <c r="D175" s="13" t="s">
        <v>30</v>
      </c>
      <c r="E175" s="10">
        <v>46058</v>
      </c>
      <c r="F175" s="10" t="s">
        <v>295</v>
      </c>
      <c r="G175" s="12" t="s">
        <v>296</v>
      </c>
      <c r="H175" s="40">
        <v>75</v>
      </c>
      <c r="I175" s="40" t="s">
        <v>41</v>
      </c>
      <c r="J175" s="15"/>
      <c r="K175" s="15"/>
      <c r="L175" s="14" t="s">
        <v>297</v>
      </c>
      <c r="M175" s="41" t="s">
        <v>29</v>
      </c>
    </row>
    <row r="176" spans="2:13" ht="30" customHeight="1" x14ac:dyDescent="0.45">
      <c r="B176" s="10" t="s">
        <v>1387</v>
      </c>
      <c r="C176" s="10" t="s">
        <v>16</v>
      </c>
      <c r="D176" s="13" t="s">
        <v>110</v>
      </c>
      <c r="E176" s="10">
        <v>46057</v>
      </c>
      <c r="F176" s="10" t="s">
        <v>329</v>
      </c>
      <c r="G176" s="12" t="s">
        <v>330</v>
      </c>
      <c r="H176" s="40">
        <v>25</v>
      </c>
      <c r="I176" s="40" t="s">
        <v>41</v>
      </c>
      <c r="J176" s="15"/>
      <c r="K176" s="15"/>
      <c r="L176" s="14" t="s">
        <v>331</v>
      </c>
      <c r="M176" s="41" t="s">
        <v>29</v>
      </c>
    </row>
    <row r="177" spans="2:13" ht="30" customHeight="1" x14ac:dyDescent="0.45">
      <c r="B177" s="10" t="s">
        <v>1387</v>
      </c>
      <c r="C177" s="10" t="s">
        <v>17</v>
      </c>
      <c r="D177" s="13" t="s">
        <v>30</v>
      </c>
      <c r="E177" s="10">
        <v>46056</v>
      </c>
      <c r="F177" s="10" t="s">
        <v>369</v>
      </c>
      <c r="G177" s="12" t="s">
        <v>370</v>
      </c>
      <c r="H177" s="40">
        <v>175</v>
      </c>
      <c r="I177" s="40">
        <v>1000</v>
      </c>
      <c r="J177" s="15"/>
      <c r="K177" s="15"/>
      <c r="L177" s="14" t="s">
        <v>371</v>
      </c>
      <c r="M177" s="41" t="s">
        <v>29</v>
      </c>
    </row>
    <row r="178" spans="2:13" ht="30" customHeight="1" x14ac:dyDescent="0.45">
      <c r="B178" s="10" t="s">
        <v>1387</v>
      </c>
      <c r="C178" s="10" t="s">
        <v>19</v>
      </c>
      <c r="D178" s="13" t="s">
        <v>30</v>
      </c>
      <c r="E178" s="10">
        <v>46056</v>
      </c>
      <c r="F178" s="10" t="s">
        <v>310</v>
      </c>
      <c r="G178" s="12" t="s">
        <v>311</v>
      </c>
      <c r="H178" s="40">
        <v>125</v>
      </c>
      <c r="I178" s="40" t="s">
        <v>41</v>
      </c>
      <c r="J178" s="15"/>
      <c r="K178" s="15"/>
      <c r="L178" s="14" t="s">
        <v>312</v>
      </c>
      <c r="M178" s="41" t="s">
        <v>29</v>
      </c>
    </row>
    <row r="179" spans="2:13" ht="30" customHeight="1" x14ac:dyDescent="0.45">
      <c r="B179" s="10" t="s">
        <v>1387</v>
      </c>
      <c r="C179" s="10" t="s">
        <v>10</v>
      </c>
      <c r="D179" s="13" t="s">
        <v>38</v>
      </c>
      <c r="E179" s="10">
        <v>46056</v>
      </c>
      <c r="F179" s="10" t="s">
        <v>304</v>
      </c>
      <c r="G179" s="12" t="s">
        <v>305</v>
      </c>
      <c r="H179" s="40">
        <v>27</v>
      </c>
      <c r="I179" s="40" t="s">
        <v>41</v>
      </c>
      <c r="J179" s="15"/>
      <c r="K179" s="15"/>
      <c r="L179" s="14" t="s">
        <v>306</v>
      </c>
      <c r="M179" s="41" t="s">
        <v>29</v>
      </c>
    </row>
    <row r="180" spans="2:13" ht="30" customHeight="1" x14ac:dyDescent="0.45">
      <c r="B180" s="10" t="s">
        <v>1387</v>
      </c>
      <c r="C180" s="10" t="s">
        <v>9</v>
      </c>
      <c r="D180" s="13" t="s">
        <v>110</v>
      </c>
      <c r="E180" s="10">
        <v>46056</v>
      </c>
      <c r="F180" s="10" t="s">
        <v>245</v>
      </c>
      <c r="G180" s="12" t="s">
        <v>246</v>
      </c>
      <c r="H180" s="40">
        <v>45</v>
      </c>
      <c r="I180" s="40" t="s">
        <v>41</v>
      </c>
      <c r="J180" s="15"/>
      <c r="K180" s="15"/>
      <c r="L180" s="14" t="s">
        <v>247</v>
      </c>
      <c r="M180" s="41" t="s">
        <v>29</v>
      </c>
    </row>
    <row r="181" spans="2:13" ht="30" customHeight="1" x14ac:dyDescent="0.45">
      <c r="B181" s="10" t="s">
        <v>1387</v>
      </c>
      <c r="C181" s="10" t="s">
        <v>16</v>
      </c>
      <c r="D181" s="13" t="s">
        <v>290</v>
      </c>
      <c r="E181" s="10">
        <v>46056</v>
      </c>
      <c r="F181" s="10" t="s">
        <v>289</v>
      </c>
      <c r="G181" s="12" t="s">
        <v>288</v>
      </c>
      <c r="H181" s="40">
        <v>35</v>
      </c>
      <c r="I181" s="40" t="s">
        <v>41</v>
      </c>
      <c r="J181" s="15"/>
      <c r="K181" s="15"/>
      <c r="L181" s="14" t="s">
        <v>291</v>
      </c>
      <c r="M181" s="41" t="s">
        <v>29</v>
      </c>
    </row>
    <row r="182" spans="2:13" ht="30" customHeight="1" x14ac:dyDescent="0.45">
      <c r="B182" s="10" t="s">
        <v>1387</v>
      </c>
      <c r="C182" s="10" t="s">
        <v>16</v>
      </c>
      <c r="D182" s="13" t="s">
        <v>30</v>
      </c>
      <c r="E182" s="10">
        <v>46056</v>
      </c>
      <c r="F182" s="10" t="s">
        <v>252</v>
      </c>
      <c r="G182" s="12" t="s">
        <v>253</v>
      </c>
      <c r="H182" s="40">
        <v>70</v>
      </c>
      <c r="I182" s="40">
        <v>1000</v>
      </c>
      <c r="J182" s="15"/>
      <c r="K182" s="15"/>
      <c r="L182" s="14" t="s">
        <v>254</v>
      </c>
      <c r="M182" s="41" t="s">
        <v>29</v>
      </c>
    </row>
    <row r="183" spans="2:13" ht="30" customHeight="1" x14ac:dyDescent="0.45">
      <c r="B183" s="10" t="s">
        <v>1387</v>
      </c>
      <c r="C183" s="10" t="s">
        <v>15</v>
      </c>
      <c r="D183" s="13" t="s">
        <v>35</v>
      </c>
      <c r="E183" s="10">
        <v>46056</v>
      </c>
      <c r="F183" s="10" t="s">
        <v>255</v>
      </c>
      <c r="G183" s="12" t="s">
        <v>256</v>
      </c>
      <c r="H183" s="40">
        <v>50</v>
      </c>
      <c r="I183" s="40" t="s">
        <v>41</v>
      </c>
      <c r="J183" s="15"/>
      <c r="K183" s="15"/>
      <c r="L183" s="14" t="s">
        <v>257</v>
      </c>
      <c r="M183" s="41" t="s">
        <v>29</v>
      </c>
    </row>
    <row r="184" spans="2:13" ht="30" customHeight="1" x14ac:dyDescent="0.45">
      <c r="B184" s="10" t="s">
        <v>1387</v>
      </c>
      <c r="C184" s="10" t="s">
        <v>17</v>
      </c>
      <c r="D184" s="13" t="s">
        <v>30</v>
      </c>
      <c r="E184" s="10">
        <v>46055</v>
      </c>
      <c r="F184" s="10" t="s">
        <v>237</v>
      </c>
      <c r="G184" s="12" t="s">
        <v>238</v>
      </c>
      <c r="H184" s="40">
        <v>75</v>
      </c>
      <c r="I184" s="40">
        <v>700</v>
      </c>
      <c r="J184" s="15"/>
      <c r="K184" s="15"/>
      <c r="L184" s="14" t="s">
        <v>239</v>
      </c>
      <c r="M184" s="41" t="s">
        <v>29</v>
      </c>
    </row>
    <row r="185" spans="2:13" ht="30" customHeight="1" x14ac:dyDescent="0.45">
      <c r="B185" s="10" t="s">
        <v>1387</v>
      </c>
      <c r="C185" s="10" t="s">
        <v>15</v>
      </c>
      <c r="D185" s="13" t="s">
        <v>30</v>
      </c>
      <c r="E185" s="10">
        <v>46055</v>
      </c>
      <c r="F185" s="10" t="s">
        <v>240</v>
      </c>
      <c r="G185" s="12" t="s">
        <v>241</v>
      </c>
      <c r="H185" s="40">
        <v>124</v>
      </c>
      <c r="I185" s="40" t="s">
        <v>41</v>
      </c>
      <c r="J185" s="15"/>
      <c r="K185" s="15"/>
      <c r="L185" s="14" t="s">
        <v>242</v>
      </c>
      <c r="M185" s="41" t="s">
        <v>29</v>
      </c>
    </row>
    <row r="186" spans="2:13" ht="30" customHeight="1" x14ac:dyDescent="0.45">
      <c r="B186" s="10" t="s">
        <v>1387</v>
      </c>
      <c r="C186" s="10" t="s">
        <v>14</v>
      </c>
      <c r="D186" s="13" t="s">
        <v>110</v>
      </c>
      <c r="E186" s="10">
        <v>46052</v>
      </c>
      <c r="F186" s="10" t="s">
        <v>214</v>
      </c>
      <c r="G186" s="12" t="s">
        <v>215</v>
      </c>
      <c r="H186" s="40" t="s">
        <v>41</v>
      </c>
      <c r="I186" s="40">
        <v>2000</v>
      </c>
      <c r="J186" s="15"/>
      <c r="K186" s="15"/>
      <c r="L186" s="14" t="s">
        <v>216</v>
      </c>
      <c r="M186" s="41" t="s">
        <v>29</v>
      </c>
    </row>
    <row r="187" spans="2:13" ht="30" customHeight="1" x14ac:dyDescent="0.45">
      <c r="B187" s="10" t="s">
        <v>1387</v>
      </c>
      <c r="C187" s="10" t="s">
        <v>16</v>
      </c>
      <c r="D187" s="13" t="s">
        <v>30</v>
      </c>
      <c r="E187" s="10">
        <v>46051</v>
      </c>
      <c r="F187" s="10" t="s">
        <v>243</v>
      </c>
      <c r="G187" s="12" t="s">
        <v>248</v>
      </c>
      <c r="H187" s="40">
        <v>150</v>
      </c>
      <c r="I187" s="40">
        <v>1500</v>
      </c>
      <c r="J187" s="15"/>
      <c r="K187" s="15"/>
      <c r="L187" s="14" t="s">
        <v>244</v>
      </c>
      <c r="M187" s="41" t="s">
        <v>29</v>
      </c>
    </row>
    <row r="188" spans="2:13" ht="30" customHeight="1" x14ac:dyDescent="0.45">
      <c r="B188" s="10" t="s">
        <v>1387</v>
      </c>
      <c r="C188" s="10" t="s">
        <v>9</v>
      </c>
      <c r="D188" s="13" t="s">
        <v>30</v>
      </c>
      <c r="E188" s="10">
        <v>46051</v>
      </c>
      <c r="F188" s="10" t="s">
        <v>234</v>
      </c>
      <c r="G188" s="12" t="s">
        <v>235</v>
      </c>
      <c r="H188" s="40">
        <v>30</v>
      </c>
      <c r="I188" s="40">
        <v>190</v>
      </c>
      <c r="J188" s="15"/>
      <c r="K188" s="15"/>
      <c r="L188" s="14" t="s">
        <v>236</v>
      </c>
      <c r="M188" s="41" t="s">
        <v>29</v>
      </c>
    </row>
    <row r="189" spans="2:13" ht="30" customHeight="1" x14ac:dyDescent="0.45">
      <c r="B189" s="10" t="s">
        <v>1387</v>
      </c>
      <c r="C189" s="10" t="s">
        <v>9</v>
      </c>
      <c r="D189" s="13" t="s">
        <v>30</v>
      </c>
      <c r="E189" s="10">
        <v>46051</v>
      </c>
      <c r="F189" s="10" t="s">
        <v>258</v>
      </c>
      <c r="G189" s="12" t="s">
        <v>259</v>
      </c>
      <c r="H189" s="40">
        <v>50</v>
      </c>
      <c r="I189" s="40" t="s">
        <v>41</v>
      </c>
      <c r="J189" s="15"/>
      <c r="K189" s="15"/>
      <c r="L189" s="14" t="s">
        <v>260</v>
      </c>
      <c r="M189" s="41" t="s">
        <v>29</v>
      </c>
    </row>
    <row r="190" spans="2:13" ht="30" customHeight="1" x14ac:dyDescent="0.45">
      <c r="B190" s="10" t="s">
        <v>1387</v>
      </c>
      <c r="C190" s="10" t="s">
        <v>17</v>
      </c>
      <c r="D190" s="13" t="s">
        <v>30</v>
      </c>
      <c r="E190" s="10">
        <v>46050</v>
      </c>
      <c r="F190" s="10" t="s">
        <v>210</v>
      </c>
      <c r="G190" s="12" t="s">
        <v>103</v>
      </c>
      <c r="H190" s="40">
        <v>75</v>
      </c>
      <c r="I190" s="40">
        <v>750</v>
      </c>
      <c r="J190" s="15"/>
      <c r="K190" s="15"/>
      <c r="L190" s="14" t="s">
        <v>211</v>
      </c>
      <c r="M190" s="41" t="s">
        <v>29</v>
      </c>
    </row>
    <row r="191" spans="2:13" ht="30" customHeight="1" x14ac:dyDescent="0.45">
      <c r="B191" s="10" t="s">
        <v>1387</v>
      </c>
      <c r="C191" s="10" t="s">
        <v>10</v>
      </c>
      <c r="D191" s="13" t="s">
        <v>30</v>
      </c>
      <c r="E191" s="10">
        <v>46050</v>
      </c>
      <c r="F191" s="10" t="s">
        <v>404</v>
      </c>
      <c r="G191" s="12" t="s">
        <v>212</v>
      </c>
      <c r="H191" s="40">
        <v>75</v>
      </c>
      <c r="I191" s="40">
        <v>1000</v>
      </c>
      <c r="J191" s="15"/>
      <c r="K191" s="15"/>
      <c r="L191" s="14" t="s">
        <v>213</v>
      </c>
      <c r="M191" s="41" t="s">
        <v>29</v>
      </c>
    </row>
    <row r="192" spans="2:13" ht="30" customHeight="1" x14ac:dyDescent="0.45">
      <c r="B192" s="10" t="s">
        <v>1387</v>
      </c>
      <c r="C192" s="10" t="s">
        <v>9</v>
      </c>
      <c r="D192" s="13" t="s">
        <v>30</v>
      </c>
      <c r="E192" s="10">
        <v>46050</v>
      </c>
      <c r="F192" s="10" t="s">
        <v>405</v>
      </c>
      <c r="G192" s="12" t="s">
        <v>406</v>
      </c>
      <c r="H192" s="40">
        <v>60</v>
      </c>
      <c r="I192" s="40" t="s">
        <v>41</v>
      </c>
      <c r="J192" s="15"/>
      <c r="K192" s="15"/>
      <c r="L192" s="14" t="s">
        <v>407</v>
      </c>
      <c r="M192" s="41" t="s">
        <v>29</v>
      </c>
    </row>
    <row r="193" spans="2:13" ht="30" customHeight="1" x14ac:dyDescent="0.45">
      <c r="B193" s="10" t="s">
        <v>1387</v>
      </c>
      <c r="C193" s="10" t="s">
        <v>17</v>
      </c>
      <c r="D193" s="13" t="s">
        <v>30</v>
      </c>
      <c r="E193" s="10">
        <v>46050</v>
      </c>
      <c r="F193" s="10" t="s">
        <v>231</v>
      </c>
      <c r="G193" s="12" t="s">
        <v>232</v>
      </c>
      <c r="H193" s="40">
        <v>40</v>
      </c>
      <c r="I193" s="40">
        <v>378</v>
      </c>
      <c r="J193" s="15"/>
      <c r="K193" s="15"/>
      <c r="L193" s="14" t="s">
        <v>233</v>
      </c>
      <c r="M193" s="41" t="s">
        <v>29</v>
      </c>
    </row>
    <row r="194" spans="2:13" ht="30" customHeight="1" x14ac:dyDescent="0.45">
      <c r="B194" s="10" t="s">
        <v>1387</v>
      </c>
      <c r="C194" s="10" t="s">
        <v>12</v>
      </c>
      <c r="D194" s="13" t="s">
        <v>151</v>
      </c>
      <c r="E194" s="10">
        <v>46050</v>
      </c>
      <c r="F194" s="10" t="s">
        <v>228</v>
      </c>
      <c r="G194" s="12" t="s">
        <v>229</v>
      </c>
      <c r="H194" s="40">
        <v>25</v>
      </c>
      <c r="I194" s="40" t="s">
        <v>41</v>
      </c>
      <c r="J194" s="15"/>
      <c r="K194" s="15"/>
      <c r="L194" s="14" t="s">
        <v>230</v>
      </c>
      <c r="M194" s="41" t="s">
        <v>29</v>
      </c>
    </row>
    <row r="195" spans="2:13" ht="30" customHeight="1" x14ac:dyDescent="0.45">
      <c r="B195" s="10" t="s">
        <v>1387</v>
      </c>
      <c r="C195" s="10" t="s">
        <v>14</v>
      </c>
      <c r="D195" s="13" t="s">
        <v>30</v>
      </c>
      <c r="E195" s="10">
        <v>46050</v>
      </c>
      <c r="F195" s="10" t="s">
        <v>249</v>
      </c>
      <c r="G195" s="12" t="s">
        <v>250</v>
      </c>
      <c r="H195" s="40">
        <v>12</v>
      </c>
      <c r="I195" s="40">
        <v>76</v>
      </c>
      <c r="J195" s="15"/>
      <c r="K195" s="15"/>
      <c r="L195" s="14" t="s">
        <v>251</v>
      </c>
      <c r="M195" s="41" t="s">
        <v>29</v>
      </c>
    </row>
    <row r="196" spans="2:13" ht="30" customHeight="1" x14ac:dyDescent="0.45">
      <c r="B196" s="10" t="s">
        <v>1387</v>
      </c>
      <c r="C196" s="10" t="s">
        <v>14</v>
      </c>
      <c r="D196" s="13" t="s">
        <v>30</v>
      </c>
      <c r="E196" s="10">
        <v>46049</v>
      </c>
      <c r="F196" s="10" t="s">
        <v>174</v>
      </c>
      <c r="G196" s="12" t="s">
        <v>175</v>
      </c>
      <c r="H196" s="40">
        <v>19</v>
      </c>
      <c r="I196" s="40" t="s">
        <v>41</v>
      </c>
      <c r="J196" s="15"/>
      <c r="K196" s="15"/>
      <c r="L196" s="14" t="s">
        <v>176</v>
      </c>
      <c r="M196" s="41" t="s">
        <v>29</v>
      </c>
    </row>
    <row r="197" spans="2:13" ht="30" customHeight="1" x14ac:dyDescent="0.45">
      <c r="B197" s="10" t="s">
        <v>1387</v>
      </c>
      <c r="C197" s="10" t="s">
        <v>9</v>
      </c>
      <c r="D197" s="13" t="s">
        <v>30</v>
      </c>
      <c r="E197" s="10">
        <v>46049</v>
      </c>
      <c r="F197" s="10" t="s">
        <v>207</v>
      </c>
      <c r="G197" s="12" t="s">
        <v>208</v>
      </c>
      <c r="H197" s="40">
        <v>25</v>
      </c>
      <c r="I197" s="40" t="s">
        <v>41</v>
      </c>
      <c r="J197" s="15"/>
      <c r="K197" s="15"/>
      <c r="L197" s="14" t="s">
        <v>209</v>
      </c>
      <c r="M197" s="41" t="s">
        <v>29</v>
      </c>
    </row>
    <row r="198" spans="2:13" ht="30" customHeight="1" x14ac:dyDescent="0.45">
      <c r="B198" s="10" t="s">
        <v>1387</v>
      </c>
      <c r="C198" s="10" t="s">
        <v>17</v>
      </c>
      <c r="D198" s="13" t="s">
        <v>30</v>
      </c>
      <c r="E198" s="10">
        <v>46049</v>
      </c>
      <c r="F198" s="10" t="s">
        <v>204</v>
      </c>
      <c r="G198" s="12" t="s">
        <v>205</v>
      </c>
      <c r="H198" s="40">
        <v>37</v>
      </c>
      <c r="I198" s="40" t="s">
        <v>41</v>
      </c>
      <c r="J198" s="15"/>
      <c r="K198" s="15"/>
      <c r="L198" s="14" t="s">
        <v>206</v>
      </c>
      <c r="M198" s="41" t="s">
        <v>29</v>
      </c>
    </row>
    <row r="199" spans="2:13" ht="30" customHeight="1" x14ac:dyDescent="0.45">
      <c r="B199" s="10" t="s">
        <v>1387</v>
      </c>
      <c r="C199" s="10" t="s">
        <v>15</v>
      </c>
      <c r="D199" s="13" t="s">
        <v>182</v>
      </c>
      <c r="E199" s="10">
        <v>46049</v>
      </c>
      <c r="F199" s="10" t="s">
        <v>180</v>
      </c>
      <c r="G199" s="12" t="s">
        <v>181</v>
      </c>
      <c r="H199" s="40">
        <v>46</v>
      </c>
      <c r="I199" s="40" t="s">
        <v>41</v>
      </c>
      <c r="J199" s="15"/>
      <c r="K199" s="15"/>
      <c r="L199" s="14" t="s">
        <v>183</v>
      </c>
      <c r="M199" s="41" t="s">
        <v>29</v>
      </c>
    </row>
    <row r="200" spans="2:13" ht="30" customHeight="1" x14ac:dyDescent="0.45">
      <c r="B200" s="10" t="s">
        <v>1387</v>
      </c>
      <c r="C200" s="10" t="s">
        <v>9</v>
      </c>
      <c r="D200" s="13" t="s">
        <v>133</v>
      </c>
      <c r="E200" s="10">
        <v>46048</v>
      </c>
      <c r="F200" s="10" t="s">
        <v>408</v>
      </c>
      <c r="G200" s="12" t="s">
        <v>409</v>
      </c>
      <c r="H200" s="40">
        <v>5</v>
      </c>
      <c r="I200" s="40">
        <v>303</v>
      </c>
      <c r="J200" s="15"/>
      <c r="K200" s="15"/>
      <c r="L200" s="14" t="s">
        <v>410</v>
      </c>
      <c r="M200" s="41" t="s">
        <v>29</v>
      </c>
    </row>
    <row r="201" spans="2:13" ht="30" customHeight="1" x14ac:dyDescent="0.45">
      <c r="B201" s="10" t="s">
        <v>1387</v>
      </c>
      <c r="C201" s="10" t="s">
        <v>14</v>
      </c>
      <c r="D201" s="13" t="s">
        <v>30</v>
      </c>
      <c r="E201" s="10">
        <v>46048</v>
      </c>
      <c r="F201" s="10" t="s">
        <v>221</v>
      </c>
      <c r="G201" s="12" t="s">
        <v>222</v>
      </c>
      <c r="H201" s="40">
        <v>45</v>
      </c>
      <c r="I201" s="40">
        <v>266</v>
      </c>
      <c r="J201" s="15"/>
      <c r="K201" s="15"/>
      <c r="L201" s="14" t="s">
        <v>223</v>
      </c>
      <c r="M201" s="41" t="s">
        <v>29</v>
      </c>
    </row>
    <row r="202" spans="2:13" ht="30" customHeight="1" x14ac:dyDescent="0.45">
      <c r="B202" s="10" t="s">
        <v>1387</v>
      </c>
      <c r="C202" s="10" t="s">
        <v>10</v>
      </c>
      <c r="D202" s="13" t="s">
        <v>36</v>
      </c>
      <c r="E202" s="10">
        <v>46045</v>
      </c>
      <c r="F202" s="10" t="s">
        <v>156</v>
      </c>
      <c r="G202" s="12" t="s">
        <v>158</v>
      </c>
      <c r="H202" s="40">
        <v>110</v>
      </c>
      <c r="I202" s="40" t="s">
        <v>41</v>
      </c>
      <c r="J202" s="15"/>
      <c r="K202" s="15"/>
      <c r="L202" s="14" t="s">
        <v>157</v>
      </c>
      <c r="M202" s="41" t="s">
        <v>29</v>
      </c>
    </row>
    <row r="203" spans="2:13" ht="30" customHeight="1" x14ac:dyDescent="0.45">
      <c r="B203" s="10" t="s">
        <v>1387</v>
      </c>
      <c r="C203" s="10" t="s">
        <v>19</v>
      </c>
      <c r="D203" s="13" t="s">
        <v>30</v>
      </c>
      <c r="E203" s="10">
        <v>46044</v>
      </c>
      <c r="F203" s="10" t="s">
        <v>171</v>
      </c>
      <c r="G203" s="12" t="s">
        <v>172</v>
      </c>
      <c r="H203" s="40">
        <v>63</v>
      </c>
      <c r="I203" s="40">
        <v>341</v>
      </c>
      <c r="J203" s="15"/>
      <c r="K203" s="15"/>
      <c r="L203" s="14" t="s">
        <v>173</v>
      </c>
      <c r="M203" s="41" t="s">
        <v>29</v>
      </c>
    </row>
    <row r="204" spans="2:13" ht="30" customHeight="1" x14ac:dyDescent="0.45">
      <c r="B204" s="10" t="s">
        <v>1387</v>
      </c>
      <c r="C204" s="10" t="s">
        <v>16</v>
      </c>
      <c r="D204" s="13" t="s">
        <v>30</v>
      </c>
      <c r="E204" s="10">
        <v>46044</v>
      </c>
      <c r="F204" s="10" t="s">
        <v>136</v>
      </c>
      <c r="G204" s="12" t="s">
        <v>137</v>
      </c>
      <c r="H204" s="40">
        <v>82</v>
      </c>
      <c r="I204" s="40">
        <v>834</v>
      </c>
      <c r="J204" s="15"/>
      <c r="K204" s="15"/>
      <c r="L204" s="14" t="s">
        <v>138</v>
      </c>
      <c r="M204" s="41" t="s">
        <v>29</v>
      </c>
    </row>
    <row r="205" spans="2:13" ht="30" customHeight="1" x14ac:dyDescent="0.45">
      <c r="B205" s="10" t="s">
        <v>1387</v>
      </c>
      <c r="C205" s="10" t="s">
        <v>10</v>
      </c>
      <c r="D205" s="13" t="s">
        <v>42</v>
      </c>
      <c r="E205" s="10">
        <v>46044</v>
      </c>
      <c r="F205" s="10" t="s">
        <v>393</v>
      </c>
      <c r="G205" s="12" t="s">
        <v>394</v>
      </c>
      <c r="H205" s="40">
        <v>290</v>
      </c>
      <c r="I205" s="40">
        <v>2500</v>
      </c>
      <c r="J205" s="15"/>
      <c r="K205" s="15"/>
      <c r="L205" s="14" t="s">
        <v>395</v>
      </c>
      <c r="M205" s="41" t="s">
        <v>29</v>
      </c>
    </row>
    <row r="206" spans="2:13" ht="30" customHeight="1" x14ac:dyDescent="0.45">
      <c r="B206" s="10" t="s">
        <v>1387</v>
      </c>
      <c r="C206" s="10" t="s">
        <v>12</v>
      </c>
      <c r="D206" s="13" t="s">
        <v>151</v>
      </c>
      <c r="E206" s="10">
        <v>46043</v>
      </c>
      <c r="F206" s="10" t="s">
        <v>149</v>
      </c>
      <c r="G206" s="12" t="s">
        <v>150</v>
      </c>
      <c r="H206" s="40">
        <v>70</v>
      </c>
      <c r="I206" s="40">
        <v>550</v>
      </c>
      <c r="J206" s="15"/>
      <c r="K206" s="15"/>
      <c r="L206" s="14" t="s">
        <v>152</v>
      </c>
      <c r="M206" s="41" t="s">
        <v>29</v>
      </c>
    </row>
    <row r="207" spans="2:13" ht="30" customHeight="1" x14ac:dyDescent="0.45">
      <c r="B207" s="10" t="s">
        <v>1387</v>
      </c>
      <c r="C207" s="10" t="s">
        <v>15</v>
      </c>
      <c r="D207" s="13" t="s">
        <v>30</v>
      </c>
      <c r="E207" s="10">
        <v>46043</v>
      </c>
      <c r="F207" s="10" t="s">
        <v>129</v>
      </c>
      <c r="G207" s="12" t="s">
        <v>399</v>
      </c>
      <c r="H207" s="40">
        <v>90</v>
      </c>
      <c r="I207" s="40" t="s">
        <v>41</v>
      </c>
      <c r="J207" s="15"/>
      <c r="K207" s="15"/>
      <c r="L207" s="14" t="s">
        <v>130</v>
      </c>
      <c r="M207" s="41" t="s">
        <v>29</v>
      </c>
    </row>
    <row r="208" spans="2:13" ht="30" customHeight="1" x14ac:dyDescent="0.45">
      <c r="B208" s="10" t="s">
        <v>1387</v>
      </c>
      <c r="C208" s="10" t="s">
        <v>17</v>
      </c>
      <c r="D208" s="13" t="s">
        <v>30</v>
      </c>
      <c r="E208" s="10">
        <v>46042</v>
      </c>
      <c r="F208" s="10" t="s">
        <v>411</v>
      </c>
      <c r="G208" s="12" t="s">
        <v>412</v>
      </c>
      <c r="H208" s="40">
        <v>100</v>
      </c>
      <c r="I208" s="40" t="s">
        <v>41</v>
      </c>
      <c r="J208" s="15"/>
      <c r="K208" s="15"/>
      <c r="L208" s="14" t="s">
        <v>413</v>
      </c>
      <c r="M208" s="41" t="s">
        <v>29</v>
      </c>
    </row>
    <row r="209" spans="2:13" ht="30" customHeight="1" x14ac:dyDescent="0.45">
      <c r="B209" s="10" t="s">
        <v>1387</v>
      </c>
      <c r="C209" s="10" t="s">
        <v>10</v>
      </c>
      <c r="D209" s="13" t="s">
        <v>161</v>
      </c>
      <c r="E209" s="10">
        <v>46042</v>
      </c>
      <c r="F209" s="10" t="s">
        <v>159</v>
      </c>
      <c r="G209" s="12" t="s">
        <v>160</v>
      </c>
      <c r="H209" s="40">
        <v>55</v>
      </c>
      <c r="I209" s="40" t="s">
        <v>41</v>
      </c>
      <c r="J209" s="15"/>
      <c r="K209" s="15"/>
      <c r="L209" s="14" t="s">
        <v>162</v>
      </c>
      <c r="M209" s="41" t="s">
        <v>29</v>
      </c>
    </row>
    <row r="210" spans="2:13" ht="30" customHeight="1" x14ac:dyDescent="0.45">
      <c r="B210" s="10" t="s">
        <v>1387</v>
      </c>
      <c r="C210" s="10" t="s">
        <v>12</v>
      </c>
      <c r="D210" s="13" t="s">
        <v>99</v>
      </c>
      <c r="E210" s="10">
        <v>46042</v>
      </c>
      <c r="F210" s="10" t="s">
        <v>146</v>
      </c>
      <c r="G210" s="12" t="s">
        <v>147</v>
      </c>
      <c r="H210" s="40">
        <v>204</v>
      </c>
      <c r="I210" s="40">
        <v>4200</v>
      </c>
      <c r="J210" s="15"/>
      <c r="K210" s="15"/>
      <c r="L210" s="14" t="s">
        <v>148</v>
      </c>
      <c r="M210" s="41" t="s">
        <v>29</v>
      </c>
    </row>
    <row r="211" spans="2:13" ht="30" customHeight="1" x14ac:dyDescent="0.45">
      <c r="B211" s="10" t="s">
        <v>1387</v>
      </c>
      <c r="C211" s="10" t="s">
        <v>15</v>
      </c>
      <c r="D211" s="13" t="s">
        <v>43</v>
      </c>
      <c r="E211" s="10">
        <v>46037</v>
      </c>
      <c r="F211" s="10" t="s">
        <v>87</v>
      </c>
      <c r="G211" s="12" t="s">
        <v>88</v>
      </c>
      <c r="H211" s="40">
        <v>240</v>
      </c>
      <c r="I211" s="40" t="s">
        <v>41</v>
      </c>
      <c r="J211" s="15"/>
      <c r="K211" s="15"/>
      <c r="L211" s="14" t="s">
        <v>89</v>
      </c>
      <c r="M211" s="41" t="s">
        <v>29</v>
      </c>
    </row>
    <row r="212" spans="2:13" ht="30" customHeight="1" x14ac:dyDescent="0.45">
      <c r="B212" s="10" t="s">
        <v>1387</v>
      </c>
      <c r="C212" s="10" t="s">
        <v>19</v>
      </c>
      <c r="D212" s="13" t="s">
        <v>30</v>
      </c>
      <c r="E212" s="10">
        <v>46037</v>
      </c>
      <c r="F212" s="10" t="s">
        <v>119</v>
      </c>
      <c r="G212" s="12" t="s">
        <v>120</v>
      </c>
      <c r="H212" s="40" t="s">
        <v>41</v>
      </c>
      <c r="I212" s="40" t="s">
        <v>41</v>
      </c>
      <c r="J212" s="15"/>
      <c r="K212" s="15"/>
      <c r="L212" s="14" t="s">
        <v>121</v>
      </c>
      <c r="M212" s="41" t="s">
        <v>29</v>
      </c>
    </row>
    <row r="213" spans="2:13" ht="30" customHeight="1" x14ac:dyDescent="0.45">
      <c r="B213" s="10" t="s">
        <v>1387</v>
      </c>
      <c r="C213" s="10" t="s">
        <v>9</v>
      </c>
      <c r="D213" s="13" t="s">
        <v>30</v>
      </c>
      <c r="E213" s="10">
        <v>46036</v>
      </c>
      <c r="F213" s="10" t="s">
        <v>102</v>
      </c>
      <c r="G213" s="12" t="s">
        <v>103</v>
      </c>
      <c r="H213" s="40">
        <v>42</v>
      </c>
      <c r="I213" s="40">
        <v>233</v>
      </c>
      <c r="J213" s="15"/>
      <c r="K213" s="15"/>
      <c r="L213" s="14" t="s">
        <v>104</v>
      </c>
      <c r="M213" s="41" t="s">
        <v>29</v>
      </c>
    </row>
    <row r="214" spans="2:13" ht="30" customHeight="1" x14ac:dyDescent="0.45">
      <c r="B214" s="10" t="s">
        <v>1387</v>
      </c>
      <c r="C214" s="10" t="s">
        <v>12</v>
      </c>
      <c r="D214" s="13" t="s">
        <v>95</v>
      </c>
      <c r="E214" s="10">
        <v>46036</v>
      </c>
      <c r="F214" s="10" t="s">
        <v>93</v>
      </c>
      <c r="G214" s="12" t="s">
        <v>94</v>
      </c>
      <c r="H214" s="40">
        <v>100</v>
      </c>
      <c r="I214" s="40">
        <v>1000</v>
      </c>
      <c r="J214" s="15"/>
      <c r="K214" s="15"/>
      <c r="L214" s="14" t="s">
        <v>96</v>
      </c>
      <c r="M214" s="41" t="s">
        <v>29</v>
      </c>
    </row>
    <row r="215" spans="2:13" ht="30" customHeight="1" x14ac:dyDescent="0.45">
      <c r="B215" s="10" t="s">
        <v>1387</v>
      </c>
      <c r="C215" s="10" t="s">
        <v>16</v>
      </c>
      <c r="D215" s="13" t="s">
        <v>30</v>
      </c>
      <c r="E215" s="10">
        <v>46036</v>
      </c>
      <c r="F215" s="10" t="s">
        <v>90</v>
      </c>
      <c r="G215" s="12" t="s">
        <v>91</v>
      </c>
      <c r="H215" s="40">
        <v>150</v>
      </c>
      <c r="I215" s="40">
        <v>1150</v>
      </c>
      <c r="J215" s="15"/>
      <c r="K215" s="15"/>
      <c r="L215" s="14" t="s">
        <v>92</v>
      </c>
      <c r="M215" s="41" t="s">
        <v>29</v>
      </c>
    </row>
    <row r="216" spans="2:13" ht="30" customHeight="1" x14ac:dyDescent="0.45">
      <c r="B216" s="10" t="s">
        <v>1387</v>
      </c>
      <c r="C216" s="10" t="s">
        <v>14</v>
      </c>
      <c r="D216" s="13" t="s">
        <v>36</v>
      </c>
      <c r="E216" s="10">
        <v>46036</v>
      </c>
      <c r="F216" s="10" t="s">
        <v>81</v>
      </c>
      <c r="G216" s="12" t="s">
        <v>82</v>
      </c>
      <c r="H216" s="40">
        <v>27</v>
      </c>
      <c r="I216" s="40" t="s">
        <v>41</v>
      </c>
      <c r="J216" s="15"/>
      <c r="K216" s="15"/>
      <c r="L216" s="14" t="s">
        <v>83</v>
      </c>
      <c r="M216" s="41" t="s">
        <v>29</v>
      </c>
    </row>
    <row r="217" spans="2:13" ht="30" customHeight="1" x14ac:dyDescent="0.45">
      <c r="B217" s="10" t="s">
        <v>1387</v>
      </c>
      <c r="C217" s="10" t="s">
        <v>14</v>
      </c>
      <c r="D217" s="13" t="s">
        <v>30</v>
      </c>
      <c r="E217" s="10">
        <v>46035</v>
      </c>
      <c r="F217" s="10" t="s">
        <v>195</v>
      </c>
      <c r="G217" s="12" t="s">
        <v>196</v>
      </c>
      <c r="H217" s="40">
        <v>16</v>
      </c>
      <c r="I217" s="40" t="s">
        <v>41</v>
      </c>
      <c r="J217" s="15"/>
      <c r="K217" s="15"/>
      <c r="L217" s="14" t="s">
        <v>197</v>
      </c>
      <c r="M217" s="41" t="s">
        <v>29</v>
      </c>
    </row>
    <row r="218" spans="2:13" ht="30" customHeight="1" x14ac:dyDescent="0.45">
      <c r="B218" s="10" t="s">
        <v>1387</v>
      </c>
      <c r="C218" s="10" t="s">
        <v>15</v>
      </c>
      <c r="D218" s="13" t="s">
        <v>402</v>
      </c>
      <c r="E218" s="10">
        <v>46035</v>
      </c>
      <c r="F218" s="10" t="s">
        <v>400</v>
      </c>
      <c r="G218" s="12" t="s">
        <v>401</v>
      </c>
      <c r="H218" s="40">
        <v>230</v>
      </c>
      <c r="I218" s="40" t="s">
        <v>41</v>
      </c>
      <c r="J218" s="15"/>
      <c r="K218" s="15"/>
      <c r="L218" s="14" t="s">
        <v>403</v>
      </c>
      <c r="M218" s="41" t="s">
        <v>29</v>
      </c>
    </row>
    <row r="219" spans="2:13" ht="30" customHeight="1" x14ac:dyDescent="0.45">
      <c r="B219" s="10" t="s">
        <v>1387</v>
      </c>
      <c r="C219" s="10" t="s">
        <v>16</v>
      </c>
      <c r="D219" s="13" t="s">
        <v>30</v>
      </c>
      <c r="E219" s="10">
        <v>46034</v>
      </c>
      <c r="F219" s="10" t="s">
        <v>59</v>
      </c>
      <c r="G219" s="12" t="s">
        <v>60</v>
      </c>
      <c r="H219" s="40">
        <v>35</v>
      </c>
      <c r="I219" s="40">
        <v>187</v>
      </c>
      <c r="J219" s="15"/>
      <c r="K219" s="15"/>
      <c r="L219" s="14" t="s">
        <v>61</v>
      </c>
      <c r="M219" s="41" t="s">
        <v>29</v>
      </c>
    </row>
    <row r="220" spans="2:13" ht="30" customHeight="1" x14ac:dyDescent="0.45">
      <c r="B220" s="10" t="s">
        <v>1387</v>
      </c>
      <c r="C220" s="10" t="s">
        <v>17</v>
      </c>
      <c r="D220" s="13" t="s">
        <v>30</v>
      </c>
      <c r="E220" s="10">
        <v>46031</v>
      </c>
      <c r="F220" s="10" t="s">
        <v>73</v>
      </c>
      <c r="G220" s="12" t="s">
        <v>40</v>
      </c>
      <c r="H220" s="40">
        <v>400</v>
      </c>
      <c r="I220" s="40">
        <v>9000</v>
      </c>
      <c r="J220" s="15"/>
      <c r="K220" s="15"/>
      <c r="L220" s="14" t="s">
        <v>74</v>
      </c>
      <c r="M220" s="41" t="s">
        <v>29</v>
      </c>
    </row>
    <row r="221" spans="2:13" ht="30" customHeight="1" x14ac:dyDescent="0.45">
      <c r="B221" s="10" t="s">
        <v>1387</v>
      </c>
      <c r="C221" s="10" t="s">
        <v>10</v>
      </c>
      <c r="D221" s="13" t="s">
        <v>30</v>
      </c>
      <c r="E221" s="10">
        <v>46031</v>
      </c>
      <c r="F221" s="10" t="s">
        <v>116</v>
      </c>
      <c r="G221" s="12" t="s">
        <v>117</v>
      </c>
      <c r="H221" s="40">
        <v>250</v>
      </c>
      <c r="I221" s="40">
        <v>1950</v>
      </c>
      <c r="J221" s="15"/>
      <c r="K221" s="15"/>
      <c r="L221" s="14" t="s">
        <v>118</v>
      </c>
      <c r="M221" s="41" t="s">
        <v>29</v>
      </c>
    </row>
    <row r="222" spans="2:13" ht="30" customHeight="1" x14ac:dyDescent="0.45">
      <c r="B222" s="10" t="s">
        <v>1387</v>
      </c>
      <c r="C222" s="10" t="s">
        <v>9</v>
      </c>
      <c r="D222" s="13" t="s">
        <v>30</v>
      </c>
      <c r="E222" s="10">
        <v>46030</v>
      </c>
      <c r="F222" s="10" t="s">
        <v>105</v>
      </c>
      <c r="G222" s="12" t="s">
        <v>106</v>
      </c>
      <c r="H222" s="40">
        <v>108</v>
      </c>
      <c r="I222" s="40">
        <v>630</v>
      </c>
      <c r="J222" s="15"/>
      <c r="K222" s="15"/>
      <c r="L222" s="14" t="s">
        <v>107</v>
      </c>
      <c r="M222" s="41" t="s">
        <v>29</v>
      </c>
    </row>
    <row r="223" spans="2:13" ht="30" customHeight="1" x14ac:dyDescent="0.45">
      <c r="B223" s="10" t="s">
        <v>1387</v>
      </c>
      <c r="C223" s="10" t="s">
        <v>19</v>
      </c>
      <c r="D223" s="13" t="s">
        <v>30</v>
      </c>
      <c r="E223" s="10">
        <v>46030</v>
      </c>
      <c r="F223" s="10" t="s">
        <v>78</v>
      </c>
      <c r="G223" s="12" t="s">
        <v>79</v>
      </c>
      <c r="H223" s="40">
        <v>22</v>
      </c>
      <c r="I223" s="40" t="s">
        <v>41</v>
      </c>
      <c r="J223" s="15"/>
      <c r="K223" s="15"/>
      <c r="L223" s="14" t="s">
        <v>80</v>
      </c>
      <c r="M223" s="41" t="s">
        <v>29</v>
      </c>
    </row>
    <row r="224" spans="2:13" ht="30" customHeight="1" x14ac:dyDescent="0.45">
      <c r="B224" s="10" t="s">
        <v>1387</v>
      </c>
      <c r="C224" s="10" t="s">
        <v>10</v>
      </c>
      <c r="D224" s="13" t="s">
        <v>110</v>
      </c>
      <c r="E224" s="10">
        <v>46029</v>
      </c>
      <c r="F224" s="10" t="s">
        <v>396</v>
      </c>
      <c r="G224" s="12" t="s">
        <v>398</v>
      </c>
      <c r="H224" s="40">
        <v>100</v>
      </c>
      <c r="I224" s="40">
        <v>752</v>
      </c>
      <c r="J224" s="15"/>
      <c r="K224" s="15"/>
      <c r="L224" s="14" t="s">
        <v>397</v>
      </c>
      <c r="M224" s="41" t="s">
        <v>29</v>
      </c>
    </row>
    <row r="225" spans="2:13" ht="30" customHeight="1" x14ac:dyDescent="0.45">
      <c r="B225" s="10" t="s">
        <v>1387</v>
      </c>
      <c r="C225" s="10" t="s">
        <v>17</v>
      </c>
      <c r="D225" s="13" t="s">
        <v>30</v>
      </c>
      <c r="E225" s="10">
        <v>46009</v>
      </c>
      <c r="F225" s="10" t="s">
        <v>1053</v>
      </c>
      <c r="G225" s="12" t="s">
        <v>1054</v>
      </c>
      <c r="H225" s="40">
        <v>63</v>
      </c>
      <c r="I225" s="40" t="s">
        <v>41</v>
      </c>
      <c r="J225" s="15"/>
      <c r="K225" s="15"/>
      <c r="L225" s="14" t="s">
        <v>1055</v>
      </c>
      <c r="M225" s="41" t="s">
        <v>29</v>
      </c>
    </row>
    <row r="226" spans="2:13" ht="30" customHeight="1" x14ac:dyDescent="0.45">
      <c r="B226" s="10" t="s">
        <v>1387</v>
      </c>
      <c r="C226" s="10" t="s">
        <v>10</v>
      </c>
      <c r="D226" s="13" t="s">
        <v>1058</v>
      </c>
      <c r="E226" s="10">
        <v>46007</v>
      </c>
      <c r="F226" s="10" t="s">
        <v>1056</v>
      </c>
      <c r="G226" s="12" t="s">
        <v>1057</v>
      </c>
      <c r="H226" s="40">
        <v>107</v>
      </c>
      <c r="I226" s="40" t="s">
        <v>41</v>
      </c>
      <c r="J226" s="15"/>
      <c r="K226" s="15"/>
      <c r="L226" s="14" t="s">
        <v>1059</v>
      </c>
      <c r="M226" s="41" t="s">
        <v>29</v>
      </c>
    </row>
    <row r="227" spans="2:13" ht="30" customHeight="1" x14ac:dyDescent="0.45">
      <c r="B227" s="10" t="s">
        <v>1387</v>
      </c>
      <c r="C227" s="10" t="s">
        <v>16</v>
      </c>
      <c r="D227" s="13" t="s">
        <v>30</v>
      </c>
      <c r="E227" s="10">
        <v>46002</v>
      </c>
      <c r="F227" s="10" t="s">
        <v>1060</v>
      </c>
      <c r="G227" s="12" t="s">
        <v>1061</v>
      </c>
      <c r="H227" s="40">
        <v>55</v>
      </c>
      <c r="I227" s="40" t="s">
        <v>41</v>
      </c>
      <c r="J227" s="15"/>
      <c r="K227" s="15"/>
      <c r="L227" s="14" t="s">
        <v>1062</v>
      </c>
      <c r="M227" s="41" t="s">
        <v>29</v>
      </c>
    </row>
    <row r="228" spans="2:13" ht="30" customHeight="1" x14ac:dyDescent="0.45">
      <c r="B228" s="10" t="s">
        <v>1387</v>
      </c>
      <c r="C228" s="10" t="s">
        <v>17</v>
      </c>
      <c r="D228" s="13" t="s">
        <v>30</v>
      </c>
      <c r="E228" s="10">
        <v>46002</v>
      </c>
      <c r="F228" s="10" t="s">
        <v>1063</v>
      </c>
      <c r="G228" s="12" t="s">
        <v>1064</v>
      </c>
      <c r="H228" s="40">
        <v>50</v>
      </c>
      <c r="I228" s="40">
        <v>1200</v>
      </c>
      <c r="J228" s="15"/>
      <c r="K228" s="15"/>
      <c r="L228" s="14" t="s">
        <v>1065</v>
      </c>
      <c r="M228" s="41" t="s">
        <v>29</v>
      </c>
    </row>
    <row r="229" spans="2:13" ht="30" customHeight="1" x14ac:dyDescent="0.45">
      <c r="B229" s="10" t="s">
        <v>1387</v>
      </c>
      <c r="C229" s="10" t="s">
        <v>19</v>
      </c>
      <c r="D229" s="13" t="s">
        <v>133</v>
      </c>
      <c r="E229" s="10">
        <v>46000</v>
      </c>
      <c r="F229" s="10" t="s">
        <v>1066</v>
      </c>
      <c r="G229" s="12" t="s">
        <v>1067</v>
      </c>
      <c r="H229" s="40">
        <v>10</v>
      </c>
      <c r="I229" s="40">
        <v>70</v>
      </c>
      <c r="J229" s="15"/>
      <c r="K229" s="15"/>
      <c r="L229" s="14" t="s">
        <v>1068</v>
      </c>
      <c r="M229" s="41" t="s">
        <v>29</v>
      </c>
    </row>
    <row r="230" spans="2:13" ht="30" customHeight="1" x14ac:dyDescent="0.45">
      <c r="B230" s="10" t="s">
        <v>1387</v>
      </c>
      <c r="C230" s="10" t="s">
        <v>12</v>
      </c>
      <c r="D230" s="13" t="s">
        <v>1071</v>
      </c>
      <c r="E230" s="10">
        <v>46000</v>
      </c>
      <c r="F230" s="10" t="s">
        <v>1069</v>
      </c>
      <c r="G230" s="12" t="s">
        <v>1070</v>
      </c>
      <c r="H230" s="40">
        <v>17</v>
      </c>
      <c r="I230" s="40" t="s">
        <v>41</v>
      </c>
      <c r="J230" s="15"/>
      <c r="K230" s="15"/>
      <c r="L230" s="14" t="s">
        <v>1072</v>
      </c>
      <c r="M230" s="41" t="s">
        <v>29</v>
      </c>
    </row>
    <row r="231" spans="2:13" ht="30" customHeight="1" x14ac:dyDescent="0.45">
      <c r="B231" s="10" t="s">
        <v>1387</v>
      </c>
      <c r="C231" s="10" t="s">
        <v>9</v>
      </c>
      <c r="D231" s="13" t="s">
        <v>30</v>
      </c>
      <c r="E231" s="10">
        <v>46000</v>
      </c>
      <c r="F231" s="10" t="s">
        <v>1073</v>
      </c>
      <c r="G231" s="12" t="s">
        <v>1074</v>
      </c>
      <c r="H231" s="40">
        <v>27</v>
      </c>
      <c r="I231" s="40" t="s">
        <v>41</v>
      </c>
      <c r="J231" s="15"/>
      <c r="K231" s="15"/>
      <c r="L231" s="14" t="s">
        <v>1075</v>
      </c>
      <c r="M231" s="41" t="s">
        <v>29</v>
      </c>
    </row>
    <row r="232" spans="2:13" ht="30" customHeight="1" x14ac:dyDescent="0.45">
      <c r="B232" s="10" t="s">
        <v>1387</v>
      </c>
      <c r="C232" s="10" t="s">
        <v>19</v>
      </c>
      <c r="D232" s="13" t="s">
        <v>1078</v>
      </c>
      <c r="E232" s="10">
        <v>46000</v>
      </c>
      <c r="F232" s="10" t="s">
        <v>1076</v>
      </c>
      <c r="G232" s="12" t="s">
        <v>1077</v>
      </c>
      <c r="H232" s="40">
        <v>25</v>
      </c>
      <c r="I232" s="40" t="s">
        <v>41</v>
      </c>
      <c r="J232" s="15"/>
      <c r="K232" s="15"/>
      <c r="L232" s="14" t="s">
        <v>1079</v>
      </c>
      <c r="M232" s="41" t="s">
        <v>29</v>
      </c>
    </row>
    <row r="233" spans="2:13" ht="30" customHeight="1" x14ac:dyDescent="0.45">
      <c r="B233" s="10" t="s">
        <v>1387</v>
      </c>
      <c r="C233" s="10" t="s">
        <v>10</v>
      </c>
      <c r="D233" s="13" t="s">
        <v>133</v>
      </c>
      <c r="E233" s="10">
        <v>45999</v>
      </c>
      <c r="F233" s="10" t="s">
        <v>164</v>
      </c>
      <c r="G233" s="12" t="s">
        <v>1080</v>
      </c>
      <c r="H233" s="40">
        <v>330</v>
      </c>
      <c r="I233" s="40">
        <v>8000</v>
      </c>
      <c r="J233" s="15"/>
      <c r="K233" s="15"/>
      <c r="L233" s="14" t="s">
        <v>1081</v>
      </c>
      <c r="M233" s="41" t="s">
        <v>29</v>
      </c>
    </row>
    <row r="234" spans="2:13" ht="30" customHeight="1" x14ac:dyDescent="0.45">
      <c r="B234" s="10" t="s">
        <v>1387</v>
      </c>
      <c r="C234" s="10" t="s">
        <v>12</v>
      </c>
      <c r="D234" s="13" t="s">
        <v>30</v>
      </c>
      <c r="E234" s="10">
        <v>45995</v>
      </c>
      <c r="F234" s="10" t="s">
        <v>1082</v>
      </c>
      <c r="G234" s="12" t="s">
        <v>1083</v>
      </c>
      <c r="H234" s="40">
        <v>60</v>
      </c>
      <c r="I234" s="40">
        <v>500</v>
      </c>
      <c r="J234" s="15"/>
      <c r="K234" s="15"/>
      <c r="L234" s="14" t="s">
        <v>1084</v>
      </c>
      <c r="M234" s="41" t="s">
        <v>29</v>
      </c>
    </row>
    <row r="235" spans="2:13" ht="30" customHeight="1" x14ac:dyDescent="0.45">
      <c r="B235" s="10" t="s">
        <v>1387</v>
      </c>
      <c r="C235" s="10" t="s">
        <v>16</v>
      </c>
      <c r="D235" s="13" t="s">
        <v>110</v>
      </c>
      <c r="E235" s="10">
        <v>45993</v>
      </c>
      <c r="F235" s="10" t="s">
        <v>1085</v>
      </c>
      <c r="G235" s="12" t="s">
        <v>1086</v>
      </c>
      <c r="H235" s="40">
        <v>40</v>
      </c>
      <c r="I235" s="40" t="s">
        <v>41</v>
      </c>
      <c r="J235" s="15"/>
      <c r="K235" s="15"/>
      <c r="L235" s="14" t="s">
        <v>1087</v>
      </c>
      <c r="M235" s="41" t="s">
        <v>29</v>
      </c>
    </row>
    <row r="236" spans="2:13" ht="30" customHeight="1" x14ac:dyDescent="0.45">
      <c r="B236" s="10" t="s">
        <v>1387</v>
      </c>
      <c r="C236" s="10" t="s">
        <v>16</v>
      </c>
      <c r="D236" s="13" t="s">
        <v>95</v>
      </c>
      <c r="E236" s="10">
        <v>45993</v>
      </c>
      <c r="F236" s="10" t="s">
        <v>1088</v>
      </c>
      <c r="G236" s="12" t="s">
        <v>1089</v>
      </c>
      <c r="H236" s="40" t="s">
        <v>41</v>
      </c>
      <c r="I236" s="40" t="s">
        <v>41</v>
      </c>
      <c r="J236" s="15"/>
      <c r="K236" s="15"/>
      <c r="L236" s="14" t="s">
        <v>1090</v>
      </c>
      <c r="M236" s="41" t="s">
        <v>29</v>
      </c>
    </row>
    <row r="237" spans="2:13" ht="30" customHeight="1" x14ac:dyDescent="0.45">
      <c r="B237" s="10" t="s">
        <v>1387</v>
      </c>
      <c r="C237" s="10" t="s">
        <v>16</v>
      </c>
      <c r="D237" s="13" t="s">
        <v>30</v>
      </c>
      <c r="E237" s="10">
        <v>45993</v>
      </c>
      <c r="F237" s="10" t="s">
        <v>1091</v>
      </c>
      <c r="G237" s="12" t="s">
        <v>1092</v>
      </c>
      <c r="H237" s="40">
        <v>1000</v>
      </c>
      <c r="I237" s="40">
        <v>11000</v>
      </c>
      <c r="J237" s="15"/>
      <c r="K237" s="15"/>
      <c r="L237" s="14" t="s">
        <v>1093</v>
      </c>
      <c r="M237" s="41" t="s">
        <v>29</v>
      </c>
    </row>
    <row r="238" spans="2:13" ht="30" customHeight="1" x14ac:dyDescent="0.45">
      <c r="B238" s="10" t="s">
        <v>1387</v>
      </c>
      <c r="C238" s="10" t="s">
        <v>15</v>
      </c>
      <c r="D238" s="13" t="s">
        <v>110</v>
      </c>
      <c r="E238" s="10">
        <v>45985</v>
      </c>
      <c r="F238" s="10" t="s">
        <v>1094</v>
      </c>
      <c r="G238" s="12" t="s">
        <v>1095</v>
      </c>
      <c r="H238" s="40">
        <v>3000</v>
      </c>
      <c r="I238" s="40">
        <v>75000</v>
      </c>
      <c r="J238" s="15"/>
      <c r="K238" s="15"/>
      <c r="L238" s="14" t="s">
        <v>1096</v>
      </c>
      <c r="M238" s="41" t="s">
        <v>29</v>
      </c>
    </row>
    <row r="239" spans="2:13" ht="30" customHeight="1" x14ac:dyDescent="0.45">
      <c r="B239" s="10" t="s">
        <v>1387</v>
      </c>
      <c r="C239" s="10" t="s">
        <v>14</v>
      </c>
      <c r="D239" s="13" t="s">
        <v>30</v>
      </c>
      <c r="E239" s="10">
        <v>45985</v>
      </c>
      <c r="F239" s="10" t="s">
        <v>650</v>
      </c>
      <c r="G239" s="12" t="s">
        <v>1097</v>
      </c>
      <c r="H239" s="40">
        <v>75</v>
      </c>
      <c r="I239" s="40">
        <v>325</v>
      </c>
      <c r="J239" s="15"/>
      <c r="K239" s="15"/>
      <c r="L239" s="14" t="s">
        <v>1098</v>
      </c>
      <c r="M239" s="41" t="s">
        <v>29</v>
      </c>
    </row>
    <row r="240" spans="2:13" ht="30" customHeight="1" x14ac:dyDescent="0.45">
      <c r="B240" s="10" t="s">
        <v>1387</v>
      </c>
      <c r="C240" s="10" t="s">
        <v>17</v>
      </c>
      <c r="D240" s="13" t="s">
        <v>30</v>
      </c>
      <c r="E240" s="10">
        <v>45980</v>
      </c>
      <c r="F240" s="10" t="s">
        <v>1099</v>
      </c>
      <c r="G240" s="12" t="s">
        <v>1100</v>
      </c>
      <c r="H240" s="40">
        <v>50</v>
      </c>
      <c r="I240" s="40">
        <v>385</v>
      </c>
      <c r="J240" s="15"/>
      <c r="K240" s="15"/>
      <c r="L240" s="14" t="s">
        <v>1101</v>
      </c>
      <c r="M240" s="41" t="s">
        <v>29</v>
      </c>
    </row>
    <row r="241" spans="2:13" ht="30" customHeight="1" x14ac:dyDescent="0.45">
      <c r="B241" s="10" t="s">
        <v>1387</v>
      </c>
      <c r="C241" s="10" t="s">
        <v>9</v>
      </c>
      <c r="D241" s="13" t="s">
        <v>30</v>
      </c>
      <c r="E241" s="10">
        <v>45980</v>
      </c>
      <c r="F241" s="10" t="s">
        <v>1102</v>
      </c>
      <c r="G241" s="12" t="s">
        <v>1103</v>
      </c>
      <c r="H241" s="40">
        <v>25</v>
      </c>
      <c r="I241" s="40" t="s">
        <v>41</v>
      </c>
      <c r="J241" s="15"/>
      <c r="K241" s="15"/>
      <c r="L241" s="14" t="s">
        <v>1104</v>
      </c>
      <c r="M241" s="41" t="s">
        <v>29</v>
      </c>
    </row>
    <row r="242" spans="2:13" ht="30" customHeight="1" x14ac:dyDescent="0.45">
      <c r="B242" s="10" t="s">
        <v>1387</v>
      </c>
      <c r="C242" s="10" t="s">
        <v>10</v>
      </c>
      <c r="D242" s="13" t="s">
        <v>38</v>
      </c>
      <c r="E242" s="10">
        <v>45980</v>
      </c>
      <c r="F242" s="10" t="s">
        <v>1105</v>
      </c>
      <c r="G242" s="12" t="s">
        <v>1106</v>
      </c>
      <c r="H242" s="40">
        <v>35</v>
      </c>
      <c r="I242" s="40">
        <v>633</v>
      </c>
      <c r="J242" s="15"/>
      <c r="K242" s="15"/>
      <c r="L242" s="14" t="s">
        <v>1107</v>
      </c>
      <c r="M242" s="41" t="s">
        <v>29</v>
      </c>
    </row>
    <row r="243" spans="2:13" ht="30" customHeight="1" x14ac:dyDescent="0.45">
      <c r="B243" s="10" t="s">
        <v>1387</v>
      </c>
      <c r="C243" s="10" t="s">
        <v>14</v>
      </c>
      <c r="D243" s="13" t="s">
        <v>30</v>
      </c>
      <c r="E243" s="10">
        <v>45980</v>
      </c>
      <c r="F243" s="10" t="s">
        <v>1108</v>
      </c>
      <c r="G243" s="12" t="s">
        <v>1109</v>
      </c>
      <c r="H243" s="40">
        <v>50</v>
      </c>
      <c r="I243" s="40">
        <v>270</v>
      </c>
      <c r="J243" s="15"/>
      <c r="K243" s="15"/>
      <c r="L243" s="14" t="s">
        <v>1110</v>
      </c>
      <c r="M243" s="41" t="s">
        <v>29</v>
      </c>
    </row>
    <row r="244" spans="2:13" ht="30" customHeight="1" x14ac:dyDescent="0.45">
      <c r="B244" s="10" t="s">
        <v>1387</v>
      </c>
      <c r="C244" s="10" t="s">
        <v>19</v>
      </c>
      <c r="D244" s="13" t="s">
        <v>30</v>
      </c>
      <c r="E244" s="10">
        <v>45980</v>
      </c>
      <c r="F244" s="10" t="s">
        <v>1111</v>
      </c>
      <c r="G244" s="12" t="s">
        <v>1112</v>
      </c>
      <c r="H244" s="40" t="s">
        <v>41</v>
      </c>
      <c r="I244" s="40" t="s">
        <v>41</v>
      </c>
      <c r="J244" s="15"/>
      <c r="K244" s="15"/>
      <c r="L244" s="14" t="s">
        <v>1113</v>
      </c>
      <c r="M244" s="41" t="s">
        <v>29</v>
      </c>
    </row>
    <row r="245" spans="2:13" ht="30" customHeight="1" x14ac:dyDescent="0.45">
      <c r="B245" s="10" t="s">
        <v>1387</v>
      </c>
      <c r="C245" s="10" t="s">
        <v>19</v>
      </c>
      <c r="D245" s="13" t="s">
        <v>110</v>
      </c>
      <c r="E245" s="10">
        <v>45980</v>
      </c>
      <c r="F245" s="10" t="s">
        <v>1114</v>
      </c>
      <c r="G245" s="12" t="s">
        <v>1115</v>
      </c>
      <c r="H245" s="40">
        <v>175</v>
      </c>
      <c r="I245" s="40" t="s">
        <v>41</v>
      </c>
      <c r="J245" s="15"/>
      <c r="K245" s="15"/>
      <c r="L245" s="14" t="s">
        <v>1116</v>
      </c>
      <c r="M245" s="41" t="s">
        <v>29</v>
      </c>
    </row>
    <row r="246" spans="2:13" ht="30" customHeight="1" x14ac:dyDescent="0.45">
      <c r="B246" s="10" t="s">
        <v>1387</v>
      </c>
      <c r="C246" s="10" t="s">
        <v>19</v>
      </c>
      <c r="D246" s="13" t="s">
        <v>151</v>
      </c>
      <c r="E246" s="10">
        <v>45979</v>
      </c>
      <c r="F246" s="10" t="s">
        <v>1117</v>
      </c>
      <c r="G246" s="12" t="s">
        <v>1118</v>
      </c>
      <c r="H246" s="40">
        <v>52</v>
      </c>
      <c r="I246" s="40" t="s">
        <v>41</v>
      </c>
      <c r="J246" s="15"/>
      <c r="K246" s="15"/>
      <c r="L246" s="14" t="s">
        <v>1119</v>
      </c>
      <c r="M246" s="41" t="s">
        <v>29</v>
      </c>
    </row>
    <row r="247" spans="2:13" ht="30" customHeight="1" x14ac:dyDescent="0.45">
      <c r="B247" s="10" t="s">
        <v>1387</v>
      </c>
      <c r="C247" s="10" t="s">
        <v>16</v>
      </c>
      <c r="D247" s="13" t="s">
        <v>30</v>
      </c>
      <c r="E247" s="10">
        <v>45979</v>
      </c>
      <c r="F247" s="10" t="s">
        <v>943</v>
      </c>
      <c r="G247" s="12" t="s">
        <v>1118</v>
      </c>
      <c r="H247" s="40">
        <v>800</v>
      </c>
      <c r="I247" s="40">
        <v>20000</v>
      </c>
      <c r="J247" s="15"/>
      <c r="K247" s="15"/>
      <c r="L247" s="14" t="s">
        <v>1120</v>
      </c>
      <c r="M247" s="41" t="s">
        <v>29</v>
      </c>
    </row>
    <row r="248" spans="2:13" ht="30" customHeight="1" x14ac:dyDescent="0.45">
      <c r="B248" s="10" t="s">
        <v>1387</v>
      </c>
      <c r="C248" s="10" t="s">
        <v>12</v>
      </c>
      <c r="D248" s="13" t="s">
        <v>30</v>
      </c>
      <c r="E248" s="10">
        <v>45979</v>
      </c>
      <c r="F248" s="10" t="s">
        <v>1121</v>
      </c>
      <c r="G248" s="12" t="s">
        <v>1122</v>
      </c>
      <c r="H248" s="40">
        <v>41</v>
      </c>
      <c r="I248" s="40">
        <v>143</v>
      </c>
      <c r="J248" s="15"/>
      <c r="K248" s="15"/>
      <c r="L248" s="14" t="s">
        <v>1123</v>
      </c>
      <c r="M248" s="41" t="s">
        <v>29</v>
      </c>
    </row>
    <row r="249" spans="2:13" ht="30" customHeight="1" x14ac:dyDescent="0.45">
      <c r="B249" s="10" t="s">
        <v>1387</v>
      </c>
      <c r="C249" s="10" t="s">
        <v>17</v>
      </c>
      <c r="D249" s="13" t="s">
        <v>110</v>
      </c>
      <c r="E249" s="10">
        <v>45979</v>
      </c>
      <c r="F249" s="10" t="s">
        <v>1124</v>
      </c>
      <c r="G249" s="12" t="s">
        <v>1125</v>
      </c>
      <c r="H249" s="40">
        <v>40</v>
      </c>
      <c r="I249" s="40" t="s">
        <v>41</v>
      </c>
      <c r="J249" s="15"/>
      <c r="K249" s="15"/>
      <c r="L249" s="14" t="s">
        <v>1126</v>
      </c>
      <c r="M249" s="41" t="s">
        <v>29</v>
      </c>
    </row>
    <row r="250" spans="2:13" ht="30" customHeight="1" x14ac:dyDescent="0.45">
      <c r="B250" s="10" t="s">
        <v>1387</v>
      </c>
      <c r="C250" s="10" t="s">
        <v>10</v>
      </c>
      <c r="D250" s="13" t="s">
        <v>30</v>
      </c>
      <c r="E250" s="10">
        <v>45979</v>
      </c>
      <c r="F250" s="10" t="s">
        <v>1127</v>
      </c>
      <c r="G250" s="12" t="s">
        <v>1128</v>
      </c>
      <c r="H250" s="40">
        <v>25</v>
      </c>
      <c r="I250" s="40" t="s">
        <v>41</v>
      </c>
      <c r="J250" s="15"/>
      <c r="K250" s="15"/>
      <c r="L250" s="14" t="s">
        <v>1129</v>
      </c>
      <c r="M250" s="41" t="s">
        <v>29</v>
      </c>
    </row>
    <row r="251" spans="2:13" ht="30" customHeight="1" x14ac:dyDescent="0.45">
      <c r="B251" s="10" t="s">
        <v>1387</v>
      </c>
      <c r="C251" s="10" t="s">
        <v>12</v>
      </c>
      <c r="D251" s="13" t="s">
        <v>30</v>
      </c>
      <c r="E251" s="10">
        <v>45978</v>
      </c>
      <c r="F251" s="10" t="s">
        <v>575</v>
      </c>
      <c r="G251" s="12" t="s">
        <v>1130</v>
      </c>
      <c r="H251" s="40">
        <v>300</v>
      </c>
      <c r="I251" s="40">
        <v>32000</v>
      </c>
      <c r="J251" s="15"/>
      <c r="K251" s="15"/>
      <c r="L251" s="14" t="s">
        <v>1131</v>
      </c>
      <c r="M251" s="41" t="s">
        <v>29</v>
      </c>
    </row>
    <row r="252" spans="2:13" ht="30" customHeight="1" x14ac:dyDescent="0.45">
      <c r="B252" s="10" t="s">
        <v>1387</v>
      </c>
      <c r="C252" s="10" t="s">
        <v>10</v>
      </c>
      <c r="D252" s="13" t="s">
        <v>182</v>
      </c>
      <c r="E252" s="10">
        <v>45977</v>
      </c>
      <c r="F252" s="10" t="s">
        <v>1132</v>
      </c>
      <c r="G252" s="12" t="s">
        <v>1133</v>
      </c>
      <c r="H252" s="40">
        <v>169</v>
      </c>
      <c r="I252" s="40">
        <v>1880</v>
      </c>
      <c r="J252" s="15"/>
      <c r="K252" s="15"/>
      <c r="L252" s="14" t="s">
        <v>1134</v>
      </c>
      <c r="M252" s="41" t="s">
        <v>29</v>
      </c>
    </row>
    <row r="253" spans="2:13" ht="30" customHeight="1" x14ac:dyDescent="0.45">
      <c r="B253" s="10" t="s">
        <v>1387</v>
      </c>
      <c r="C253" s="10" t="s">
        <v>17</v>
      </c>
      <c r="D253" s="13" t="s">
        <v>30</v>
      </c>
      <c r="E253" s="10">
        <v>45975</v>
      </c>
      <c r="F253" s="10" t="s">
        <v>1135</v>
      </c>
      <c r="G253" s="12" t="s">
        <v>1136</v>
      </c>
      <c r="H253" s="40">
        <v>100</v>
      </c>
      <c r="I253" s="40">
        <v>897</v>
      </c>
      <c r="J253" s="15"/>
      <c r="K253" s="15"/>
      <c r="L253" s="14" t="s">
        <v>1137</v>
      </c>
      <c r="M253" s="41" t="s">
        <v>29</v>
      </c>
    </row>
    <row r="254" spans="2:13" ht="30" customHeight="1" x14ac:dyDescent="0.45">
      <c r="B254" s="10" t="s">
        <v>1387</v>
      </c>
      <c r="C254" s="10" t="s">
        <v>15</v>
      </c>
      <c r="D254" s="13" t="s">
        <v>110</v>
      </c>
      <c r="E254" s="10">
        <v>45974</v>
      </c>
      <c r="F254" s="10" t="s">
        <v>39</v>
      </c>
      <c r="G254" s="12" t="s">
        <v>1138</v>
      </c>
      <c r="H254" s="40">
        <v>176</v>
      </c>
      <c r="I254" s="40" t="s">
        <v>41</v>
      </c>
      <c r="J254" s="15"/>
      <c r="K254" s="15"/>
      <c r="L254" s="14" t="s">
        <v>1139</v>
      </c>
      <c r="M254" s="41" t="s">
        <v>29</v>
      </c>
    </row>
    <row r="255" spans="2:13" ht="30" customHeight="1" x14ac:dyDescent="0.45">
      <c r="B255" s="10" t="s">
        <v>1387</v>
      </c>
      <c r="C255" s="10" t="s">
        <v>10</v>
      </c>
      <c r="D255" s="13" t="s">
        <v>30</v>
      </c>
      <c r="E255" s="10">
        <v>45974</v>
      </c>
      <c r="F255" s="10" t="s">
        <v>1140</v>
      </c>
      <c r="G255" s="12" t="s">
        <v>1141</v>
      </c>
      <c r="H255" s="40">
        <v>21</v>
      </c>
      <c r="I255" s="40" t="s">
        <v>41</v>
      </c>
      <c r="J255" s="15"/>
      <c r="K255" s="15"/>
      <c r="L255" s="14" t="s">
        <v>1142</v>
      </c>
      <c r="M255" s="41" t="s">
        <v>29</v>
      </c>
    </row>
    <row r="256" spans="2:13" ht="30" customHeight="1" x14ac:dyDescent="0.45">
      <c r="B256" s="10" t="s">
        <v>1387</v>
      </c>
      <c r="C256" s="10" t="s">
        <v>9</v>
      </c>
      <c r="D256" s="13" t="s">
        <v>30</v>
      </c>
      <c r="E256" s="10">
        <v>45974</v>
      </c>
      <c r="F256" s="10" t="s">
        <v>1143</v>
      </c>
      <c r="G256" s="12" t="s">
        <v>1144</v>
      </c>
      <c r="H256" s="40">
        <v>16</v>
      </c>
      <c r="I256" s="40">
        <v>70</v>
      </c>
      <c r="J256" s="15"/>
      <c r="K256" s="15"/>
      <c r="L256" s="14" t="s">
        <v>1145</v>
      </c>
      <c r="M256" s="41" t="s">
        <v>29</v>
      </c>
    </row>
    <row r="257" spans="2:13" ht="30" customHeight="1" x14ac:dyDescent="0.45">
      <c r="B257" s="10" t="s">
        <v>1387</v>
      </c>
      <c r="C257" s="10" t="s">
        <v>14</v>
      </c>
      <c r="D257" s="13" t="s">
        <v>110</v>
      </c>
      <c r="E257" s="10">
        <v>45973</v>
      </c>
      <c r="F257" s="10" t="s">
        <v>1146</v>
      </c>
      <c r="G257" s="12" t="s">
        <v>1147</v>
      </c>
      <c r="H257" s="40">
        <v>650</v>
      </c>
      <c r="I257" s="40" t="s">
        <v>41</v>
      </c>
      <c r="J257" s="15"/>
      <c r="K257" s="15"/>
      <c r="L257" s="14" t="s">
        <v>1148</v>
      </c>
      <c r="M257" s="41" t="s">
        <v>29</v>
      </c>
    </row>
    <row r="258" spans="2:13" ht="30" customHeight="1" x14ac:dyDescent="0.45">
      <c r="B258" s="10" t="s">
        <v>1387</v>
      </c>
      <c r="C258" s="10" t="s">
        <v>15</v>
      </c>
      <c r="D258" s="13" t="s">
        <v>30</v>
      </c>
      <c r="E258" s="10">
        <v>45973</v>
      </c>
      <c r="F258" s="10" t="s">
        <v>1149</v>
      </c>
      <c r="G258" s="12" t="s">
        <v>1150</v>
      </c>
      <c r="H258" s="40">
        <v>100</v>
      </c>
      <c r="I258" s="40" t="s">
        <v>41</v>
      </c>
      <c r="J258" s="15"/>
      <c r="K258" s="15"/>
      <c r="L258" s="14" t="s">
        <v>1151</v>
      </c>
      <c r="M258" s="41" t="s">
        <v>29</v>
      </c>
    </row>
    <row r="259" spans="2:13" ht="30" customHeight="1" x14ac:dyDescent="0.45">
      <c r="B259" s="10" t="s">
        <v>1387</v>
      </c>
      <c r="C259" s="10" t="s">
        <v>12</v>
      </c>
      <c r="D259" s="13" t="s">
        <v>30</v>
      </c>
      <c r="E259" s="10">
        <v>45972</v>
      </c>
      <c r="F259" s="10" t="s">
        <v>1152</v>
      </c>
      <c r="G259" s="12" t="s">
        <v>1153</v>
      </c>
      <c r="H259" s="40">
        <v>500</v>
      </c>
      <c r="I259" s="40" t="s">
        <v>41</v>
      </c>
      <c r="J259" s="15"/>
      <c r="K259" s="15"/>
      <c r="L259" s="14" t="s">
        <v>1154</v>
      </c>
      <c r="M259" s="41" t="s">
        <v>29</v>
      </c>
    </row>
    <row r="260" spans="2:13" ht="30" customHeight="1" x14ac:dyDescent="0.45">
      <c r="B260" s="10" t="s">
        <v>1387</v>
      </c>
      <c r="C260" s="10" t="s">
        <v>15</v>
      </c>
      <c r="D260" s="13" t="s">
        <v>36</v>
      </c>
      <c r="E260" s="10">
        <v>45972</v>
      </c>
      <c r="F260" s="10" t="s">
        <v>1155</v>
      </c>
      <c r="G260" s="12" t="s">
        <v>1156</v>
      </c>
      <c r="H260" s="40">
        <v>56</v>
      </c>
      <c r="I260" s="40" t="s">
        <v>41</v>
      </c>
      <c r="J260" s="15"/>
      <c r="K260" s="15"/>
      <c r="L260" s="14" t="s">
        <v>1157</v>
      </c>
      <c r="M260" s="41" t="s">
        <v>29</v>
      </c>
    </row>
    <row r="261" spans="2:13" ht="30" customHeight="1" x14ac:dyDescent="0.45">
      <c r="B261" s="10" t="s">
        <v>1387</v>
      </c>
      <c r="C261" s="10" t="s">
        <v>15</v>
      </c>
      <c r="D261" s="13" t="s">
        <v>30</v>
      </c>
      <c r="E261" s="10">
        <v>45968</v>
      </c>
      <c r="F261" s="10" t="s">
        <v>1158</v>
      </c>
      <c r="G261" s="12" t="s">
        <v>1159</v>
      </c>
      <c r="H261" s="40">
        <v>25</v>
      </c>
      <c r="I261" s="40">
        <v>277</v>
      </c>
      <c r="J261" s="15"/>
      <c r="K261" s="15"/>
      <c r="L261" s="14" t="s">
        <v>1160</v>
      </c>
      <c r="M261" s="41" t="s">
        <v>29</v>
      </c>
    </row>
    <row r="262" spans="2:13" ht="30" customHeight="1" x14ac:dyDescent="0.45">
      <c r="B262" s="10" t="s">
        <v>1387</v>
      </c>
      <c r="C262" s="10" t="s">
        <v>16</v>
      </c>
      <c r="D262" s="13" t="s">
        <v>30</v>
      </c>
      <c r="E262" s="10">
        <v>45966</v>
      </c>
      <c r="F262" s="10" t="s">
        <v>812</v>
      </c>
      <c r="G262" s="12" t="s">
        <v>1161</v>
      </c>
      <c r="H262" s="40">
        <v>500</v>
      </c>
      <c r="I262" s="40">
        <v>40000</v>
      </c>
      <c r="J262" s="15"/>
      <c r="K262" s="15"/>
      <c r="L262" s="14" t="s">
        <v>1162</v>
      </c>
      <c r="M262" s="41" t="s">
        <v>29</v>
      </c>
    </row>
    <row r="263" spans="2:13" ht="30" customHeight="1" x14ac:dyDescent="0.45">
      <c r="B263" s="10" t="s">
        <v>1387</v>
      </c>
      <c r="C263" s="10" t="s">
        <v>9</v>
      </c>
      <c r="D263" s="13" t="s">
        <v>30</v>
      </c>
      <c r="E263" s="10">
        <v>45964</v>
      </c>
      <c r="F263" s="10" t="s">
        <v>1163</v>
      </c>
      <c r="G263" s="12" t="s">
        <v>1164</v>
      </c>
      <c r="H263" s="40">
        <v>100</v>
      </c>
      <c r="I263" s="40">
        <v>780</v>
      </c>
      <c r="J263" s="15"/>
      <c r="K263" s="15"/>
      <c r="L263" s="14" t="s">
        <v>1165</v>
      </c>
      <c r="M263" s="41" t="s">
        <v>29</v>
      </c>
    </row>
    <row r="264" spans="2:13" ht="30" customHeight="1" x14ac:dyDescent="0.45">
      <c r="B264" s="10" t="s">
        <v>1387</v>
      </c>
      <c r="C264" s="10" t="s">
        <v>14</v>
      </c>
      <c r="D264" s="13" t="s">
        <v>30</v>
      </c>
      <c r="E264" s="10">
        <v>45962</v>
      </c>
      <c r="F264" s="10" t="s">
        <v>1166</v>
      </c>
      <c r="G264" s="12" t="s">
        <v>1167</v>
      </c>
      <c r="H264" s="40">
        <v>100</v>
      </c>
      <c r="I264" s="40">
        <v>3000</v>
      </c>
      <c r="J264" s="15"/>
      <c r="K264" s="15"/>
      <c r="L264" s="14" t="s">
        <v>1168</v>
      </c>
      <c r="M264" s="41" t="s">
        <v>29</v>
      </c>
    </row>
    <row r="265" spans="2:13" ht="30" customHeight="1" x14ac:dyDescent="0.45">
      <c r="B265" s="10" t="s">
        <v>1387</v>
      </c>
      <c r="C265" s="10" t="s">
        <v>10</v>
      </c>
      <c r="D265" s="13" t="s">
        <v>36</v>
      </c>
      <c r="E265" s="10">
        <v>45960</v>
      </c>
      <c r="F265" s="10" t="s">
        <v>1169</v>
      </c>
      <c r="G265" s="12" t="s">
        <v>328</v>
      </c>
      <c r="H265" s="40">
        <v>600</v>
      </c>
      <c r="I265" s="40">
        <v>14500</v>
      </c>
      <c r="J265" s="15"/>
      <c r="K265" s="15"/>
      <c r="L265" s="14" t="s">
        <v>1170</v>
      </c>
      <c r="M265" s="41" t="s">
        <v>29</v>
      </c>
    </row>
    <row r="266" spans="2:13" ht="30" customHeight="1" x14ac:dyDescent="0.45">
      <c r="B266" s="10" t="s">
        <v>1387</v>
      </c>
      <c r="C266" s="10" t="s">
        <v>12</v>
      </c>
      <c r="D266" s="13" t="s">
        <v>30</v>
      </c>
      <c r="E266" s="10">
        <v>45960</v>
      </c>
      <c r="F266" s="10" t="s">
        <v>1171</v>
      </c>
      <c r="G266" s="12" t="s">
        <v>1172</v>
      </c>
      <c r="H266" s="40">
        <v>28</v>
      </c>
      <c r="I266" s="40">
        <v>77</v>
      </c>
      <c r="J266" s="15"/>
      <c r="K266" s="15"/>
      <c r="L266" s="14" t="s">
        <v>1173</v>
      </c>
      <c r="M266" s="41" t="s">
        <v>29</v>
      </c>
    </row>
    <row r="267" spans="2:13" ht="30" customHeight="1" x14ac:dyDescent="0.45">
      <c r="B267" s="10" t="s">
        <v>1387</v>
      </c>
      <c r="C267" s="10" t="s">
        <v>15</v>
      </c>
      <c r="D267" s="13" t="s">
        <v>642</v>
      </c>
      <c r="E267" s="10">
        <v>45959</v>
      </c>
      <c r="F267" s="10" t="s">
        <v>1174</v>
      </c>
      <c r="G267" s="12" t="s">
        <v>1175</v>
      </c>
      <c r="H267" s="40" t="s">
        <v>41</v>
      </c>
      <c r="I267" s="40" t="s">
        <v>41</v>
      </c>
      <c r="J267" s="15"/>
      <c r="K267" s="15"/>
      <c r="L267" s="14" t="s">
        <v>1176</v>
      </c>
      <c r="M267" s="41" t="s">
        <v>29</v>
      </c>
    </row>
    <row r="268" spans="2:13" ht="30" customHeight="1" x14ac:dyDescent="0.45">
      <c r="B268" s="10" t="s">
        <v>1387</v>
      </c>
      <c r="C268" s="10" t="s">
        <v>16</v>
      </c>
      <c r="D268" s="13" t="s">
        <v>507</v>
      </c>
      <c r="E268" s="10">
        <v>45959</v>
      </c>
      <c r="F268" s="10" t="s">
        <v>1177</v>
      </c>
      <c r="G268" s="12" t="s">
        <v>1178</v>
      </c>
      <c r="H268" s="40">
        <v>10</v>
      </c>
      <c r="I268" s="40" t="s">
        <v>41</v>
      </c>
      <c r="J268" s="15"/>
      <c r="K268" s="15"/>
      <c r="L268" s="14" t="s">
        <v>1179</v>
      </c>
      <c r="M268" s="41" t="s">
        <v>29</v>
      </c>
    </row>
    <row r="269" spans="2:13" ht="30" customHeight="1" x14ac:dyDescent="0.45">
      <c r="B269" s="10" t="s">
        <v>1387</v>
      </c>
      <c r="C269" s="10" t="s">
        <v>15</v>
      </c>
      <c r="D269" s="13" t="s">
        <v>36</v>
      </c>
      <c r="E269" s="10">
        <v>45958</v>
      </c>
      <c r="F269" s="10" t="s">
        <v>1180</v>
      </c>
      <c r="G269" s="12" t="s">
        <v>1181</v>
      </c>
      <c r="H269" s="40">
        <v>71</v>
      </c>
      <c r="I269" s="40" t="s">
        <v>41</v>
      </c>
      <c r="J269" s="15"/>
      <c r="K269" s="15"/>
      <c r="L269" s="14" t="s">
        <v>1182</v>
      </c>
      <c r="M269" s="41" t="s">
        <v>29</v>
      </c>
    </row>
    <row r="270" spans="2:13" ht="30" customHeight="1" x14ac:dyDescent="0.45">
      <c r="B270" s="10" t="s">
        <v>1387</v>
      </c>
      <c r="C270" s="10" t="s">
        <v>15</v>
      </c>
      <c r="D270" s="13" t="s">
        <v>1058</v>
      </c>
      <c r="E270" s="10">
        <v>45958</v>
      </c>
      <c r="F270" s="10" t="s">
        <v>1183</v>
      </c>
      <c r="G270" s="12" t="s">
        <v>1184</v>
      </c>
      <c r="H270" s="40">
        <v>71</v>
      </c>
      <c r="I270" s="40" t="s">
        <v>41</v>
      </c>
      <c r="J270" s="15"/>
      <c r="K270" s="15"/>
      <c r="L270" s="14" t="s">
        <v>1185</v>
      </c>
      <c r="M270" s="41" t="s">
        <v>29</v>
      </c>
    </row>
    <row r="271" spans="2:13" ht="30" customHeight="1" x14ac:dyDescent="0.45">
      <c r="B271" s="10" t="s">
        <v>1387</v>
      </c>
      <c r="C271" s="10" t="s">
        <v>17</v>
      </c>
      <c r="D271" s="13" t="s">
        <v>267</v>
      </c>
      <c r="E271" s="10">
        <v>45958</v>
      </c>
      <c r="F271" s="10" t="s">
        <v>1186</v>
      </c>
      <c r="G271" s="12" t="s">
        <v>1187</v>
      </c>
      <c r="H271" s="40">
        <v>7</v>
      </c>
      <c r="I271" s="40" t="s">
        <v>41</v>
      </c>
      <c r="J271" s="15"/>
      <c r="K271" s="15"/>
      <c r="L271" s="14" t="s">
        <v>1188</v>
      </c>
      <c r="M271" s="41" t="s">
        <v>29</v>
      </c>
    </row>
    <row r="272" spans="2:13" ht="30" customHeight="1" x14ac:dyDescent="0.45">
      <c r="B272" s="10" t="s">
        <v>1387</v>
      </c>
      <c r="C272" s="10" t="s">
        <v>17</v>
      </c>
      <c r="D272" s="13" t="s">
        <v>182</v>
      </c>
      <c r="E272" s="10">
        <v>45958</v>
      </c>
      <c r="F272" s="10" t="s">
        <v>1189</v>
      </c>
      <c r="G272" s="12" t="s">
        <v>1190</v>
      </c>
      <c r="H272" s="40">
        <v>35</v>
      </c>
      <c r="I272" s="40" t="s">
        <v>41</v>
      </c>
      <c r="J272" s="15"/>
      <c r="K272" s="15"/>
      <c r="L272" s="14" t="s">
        <v>1191</v>
      </c>
      <c r="M272" s="41" t="s">
        <v>29</v>
      </c>
    </row>
    <row r="273" spans="2:13" ht="30" customHeight="1" x14ac:dyDescent="0.45">
      <c r="B273" s="10" t="s">
        <v>1387</v>
      </c>
      <c r="C273" s="10" t="s">
        <v>9</v>
      </c>
      <c r="D273" s="13" t="s">
        <v>30</v>
      </c>
      <c r="E273" s="10">
        <v>45958</v>
      </c>
      <c r="F273" s="10" t="s">
        <v>1192</v>
      </c>
      <c r="G273" s="12" t="s">
        <v>170</v>
      </c>
      <c r="H273" s="40" t="s">
        <v>41</v>
      </c>
      <c r="I273" s="40" t="s">
        <v>41</v>
      </c>
      <c r="J273" s="15"/>
      <c r="K273" s="15"/>
      <c r="L273" s="14" t="s">
        <v>1193</v>
      </c>
      <c r="M273" s="41" t="s">
        <v>29</v>
      </c>
    </row>
    <row r="274" spans="2:13" ht="30" customHeight="1" x14ac:dyDescent="0.45">
      <c r="B274" s="10" t="s">
        <v>1387</v>
      </c>
      <c r="C274" s="10" t="s">
        <v>14</v>
      </c>
      <c r="D274" s="13" t="s">
        <v>35</v>
      </c>
      <c r="E274" s="10">
        <v>45957</v>
      </c>
      <c r="F274" s="10" t="s">
        <v>1194</v>
      </c>
      <c r="G274" s="12" t="s">
        <v>1195</v>
      </c>
      <c r="H274" s="40">
        <v>530</v>
      </c>
      <c r="I274" s="40">
        <v>7100</v>
      </c>
      <c r="J274" s="15"/>
      <c r="K274" s="15"/>
      <c r="L274" s="14" t="s">
        <v>1196</v>
      </c>
      <c r="M274" s="41" t="s">
        <v>29</v>
      </c>
    </row>
    <row r="275" spans="2:13" ht="30" customHeight="1" x14ac:dyDescent="0.45">
      <c r="B275" s="10" t="s">
        <v>1387</v>
      </c>
      <c r="C275" s="10" t="s">
        <v>15</v>
      </c>
      <c r="D275" s="13" t="s">
        <v>30</v>
      </c>
      <c r="E275" s="10">
        <v>45957</v>
      </c>
      <c r="F275" s="10" t="s">
        <v>1197</v>
      </c>
      <c r="G275" s="12" t="s">
        <v>1198</v>
      </c>
      <c r="H275" s="40">
        <v>225</v>
      </c>
      <c r="I275" s="40">
        <v>695</v>
      </c>
      <c r="J275" s="15"/>
      <c r="K275" s="15"/>
      <c r="L275" s="14" t="s">
        <v>1199</v>
      </c>
      <c r="M275" s="41" t="s">
        <v>29</v>
      </c>
    </row>
    <row r="276" spans="2:13" ht="30" customHeight="1" x14ac:dyDescent="0.45">
      <c r="B276" s="10" t="s">
        <v>1387</v>
      </c>
      <c r="C276" s="10" t="s">
        <v>10</v>
      </c>
      <c r="D276" s="13" t="s">
        <v>30</v>
      </c>
      <c r="E276" s="10">
        <v>45957</v>
      </c>
      <c r="F276" s="10" t="s">
        <v>1200</v>
      </c>
      <c r="G276" s="12" t="s">
        <v>1201</v>
      </c>
      <c r="H276" s="40" t="s">
        <v>41</v>
      </c>
      <c r="I276" s="40" t="s">
        <v>41</v>
      </c>
      <c r="J276" s="15"/>
      <c r="K276" s="15"/>
      <c r="L276" s="14" t="s">
        <v>1202</v>
      </c>
      <c r="M276" s="41" t="s">
        <v>29</v>
      </c>
    </row>
    <row r="277" spans="2:13" ht="30" customHeight="1" x14ac:dyDescent="0.45">
      <c r="B277" s="10" t="s">
        <v>1387</v>
      </c>
      <c r="C277" s="10" t="s">
        <v>10</v>
      </c>
      <c r="D277" s="13" t="s">
        <v>30</v>
      </c>
      <c r="E277" s="10">
        <v>45957</v>
      </c>
      <c r="F277" s="10" t="s">
        <v>1203</v>
      </c>
      <c r="G277" s="12" t="s">
        <v>1204</v>
      </c>
      <c r="H277" s="40">
        <v>21</v>
      </c>
      <c r="I277" s="40">
        <v>63</v>
      </c>
      <c r="J277" s="15"/>
      <c r="K277" s="15"/>
      <c r="L277" s="14" t="s">
        <v>1205</v>
      </c>
      <c r="M277" s="41" t="s">
        <v>29</v>
      </c>
    </row>
    <row r="278" spans="2:13" ht="30" customHeight="1" x14ac:dyDescent="0.45">
      <c r="B278" s="10" t="s">
        <v>1387</v>
      </c>
      <c r="C278" s="10" t="s">
        <v>15</v>
      </c>
      <c r="D278" s="13" t="s">
        <v>30</v>
      </c>
      <c r="E278" s="10">
        <v>45953</v>
      </c>
      <c r="F278" s="10" t="s">
        <v>1206</v>
      </c>
      <c r="G278" s="12" t="s">
        <v>1207</v>
      </c>
      <c r="H278" s="40">
        <v>39</v>
      </c>
      <c r="I278" s="40" t="s">
        <v>41</v>
      </c>
      <c r="J278" s="15"/>
      <c r="K278" s="15"/>
      <c r="L278" s="14" t="s">
        <v>1208</v>
      </c>
      <c r="M278" s="41" t="s">
        <v>29</v>
      </c>
    </row>
    <row r="279" spans="2:13" ht="30" customHeight="1" x14ac:dyDescent="0.45">
      <c r="B279" s="10" t="s">
        <v>1387</v>
      </c>
      <c r="C279" s="10" t="s">
        <v>14</v>
      </c>
      <c r="D279" s="13" t="s">
        <v>133</v>
      </c>
      <c r="E279" s="10">
        <v>45952</v>
      </c>
      <c r="F279" s="10" t="s">
        <v>1209</v>
      </c>
      <c r="G279" s="12" t="s">
        <v>1210</v>
      </c>
      <c r="H279" s="40">
        <v>70</v>
      </c>
      <c r="I279" s="40" t="s">
        <v>41</v>
      </c>
      <c r="J279" s="15"/>
      <c r="K279" s="15"/>
      <c r="L279" s="14" t="s">
        <v>1211</v>
      </c>
      <c r="M279" s="41" t="s">
        <v>29</v>
      </c>
    </row>
    <row r="280" spans="2:13" ht="30" customHeight="1" x14ac:dyDescent="0.45">
      <c r="B280" s="10" t="s">
        <v>1387</v>
      </c>
      <c r="C280" s="10" t="s">
        <v>15</v>
      </c>
      <c r="D280" s="13" t="s">
        <v>30</v>
      </c>
      <c r="E280" s="10">
        <v>45952</v>
      </c>
      <c r="F280" s="10" t="s">
        <v>1212</v>
      </c>
      <c r="G280" s="12" t="s">
        <v>1213</v>
      </c>
      <c r="H280" s="40">
        <v>20</v>
      </c>
      <c r="I280" s="40" t="s">
        <v>41</v>
      </c>
      <c r="J280" s="15"/>
      <c r="K280" s="15"/>
      <c r="L280" s="14" t="s">
        <v>1214</v>
      </c>
      <c r="M280" s="41" t="s">
        <v>29</v>
      </c>
    </row>
    <row r="281" spans="2:13" ht="30" customHeight="1" x14ac:dyDescent="0.45">
      <c r="B281" s="10" t="s">
        <v>1387</v>
      </c>
      <c r="C281" s="10" t="s">
        <v>10</v>
      </c>
      <c r="D281" s="13" t="s">
        <v>30</v>
      </c>
      <c r="E281" s="10">
        <v>45951</v>
      </c>
      <c r="F281" s="10" t="s">
        <v>1215</v>
      </c>
      <c r="G281" s="12" t="s">
        <v>1216</v>
      </c>
      <c r="H281" s="40">
        <v>15</v>
      </c>
      <c r="I281" s="40" t="s">
        <v>41</v>
      </c>
      <c r="J281" s="15"/>
      <c r="K281" s="15"/>
      <c r="L281" s="14" t="s">
        <v>1217</v>
      </c>
      <c r="M281" s="41" t="s">
        <v>29</v>
      </c>
    </row>
    <row r="282" spans="2:13" ht="30" customHeight="1" x14ac:dyDescent="0.45">
      <c r="B282" s="10" t="s">
        <v>1387</v>
      </c>
      <c r="C282" s="10" t="s">
        <v>14</v>
      </c>
      <c r="D282" s="13" t="s">
        <v>30</v>
      </c>
      <c r="E282" s="10">
        <v>45951</v>
      </c>
      <c r="F282" s="10" t="s">
        <v>1218</v>
      </c>
      <c r="G282" s="12" t="s">
        <v>1219</v>
      </c>
      <c r="H282" s="40">
        <v>23</v>
      </c>
      <c r="I282" s="40">
        <v>40</v>
      </c>
      <c r="J282" s="15"/>
      <c r="K282" s="15"/>
      <c r="L282" s="14" t="s">
        <v>1220</v>
      </c>
      <c r="M282" s="41" t="s">
        <v>29</v>
      </c>
    </row>
    <row r="283" spans="2:13" ht="30" customHeight="1" x14ac:dyDescent="0.45">
      <c r="B283" s="10" t="s">
        <v>1387</v>
      </c>
      <c r="C283" s="10" t="s">
        <v>17</v>
      </c>
      <c r="D283" s="13" t="s">
        <v>30</v>
      </c>
      <c r="E283" s="10">
        <v>45951</v>
      </c>
      <c r="F283" s="10" t="s">
        <v>1224</v>
      </c>
      <c r="G283" s="12" t="s">
        <v>1225</v>
      </c>
      <c r="H283" s="40">
        <v>15</v>
      </c>
      <c r="I283" s="40">
        <v>47</v>
      </c>
      <c r="J283" s="15"/>
      <c r="K283" s="15"/>
      <c r="L283" s="14" t="s">
        <v>1226</v>
      </c>
      <c r="M283" s="41" t="s">
        <v>29</v>
      </c>
    </row>
    <row r="284" spans="2:13" ht="30" customHeight="1" x14ac:dyDescent="0.45">
      <c r="B284" s="10" t="s">
        <v>1387</v>
      </c>
      <c r="C284" s="10" t="s">
        <v>15</v>
      </c>
      <c r="D284" s="13" t="s">
        <v>271</v>
      </c>
      <c r="E284" s="10">
        <v>45951</v>
      </c>
      <c r="F284" s="10" t="s">
        <v>1227</v>
      </c>
      <c r="G284" s="12" t="s">
        <v>504</v>
      </c>
      <c r="H284" s="40">
        <v>24</v>
      </c>
      <c r="I284" s="40" t="s">
        <v>41</v>
      </c>
      <c r="J284" s="15"/>
      <c r="K284" s="15"/>
      <c r="L284" s="14" t="s">
        <v>1228</v>
      </c>
      <c r="M284" s="41" t="s">
        <v>29</v>
      </c>
    </row>
    <row r="285" spans="2:13" ht="30" customHeight="1" x14ac:dyDescent="0.45">
      <c r="B285" s="10" t="s">
        <v>1387</v>
      </c>
      <c r="C285" s="10" t="s">
        <v>12</v>
      </c>
      <c r="D285" s="13" t="s">
        <v>30</v>
      </c>
      <c r="E285" s="10">
        <v>45951</v>
      </c>
      <c r="F285" s="10" t="s">
        <v>1221</v>
      </c>
      <c r="G285" s="12" t="s">
        <v>1222</v>
      </c>
      <c r="H285" s="40">
        <v>55</v>
      </c>
      <c r="I285" s="40">
        <v>533</v>
      </c>
      <c r="J285" s="15"/>
      <c r="K285" s="15"/>
      <c r="L285" s="14" t="s">
        <v>1223</v>
      </c>
      <c r="M285" s="41" t="s">
        <v>29</v>
      </c>
    </row>
    <row r="286" spans="2:13" ht="30" customHeight="1" x14ac:dyDescent="0.45">
      <c r="B286" s="10" t="s">
        <v>1387</v>
      </c>
      <c r="C286" s="10" t="s">
        <v>10</v>
      </c>
      <c r="D286" s="13" t="s">
        <v>110</v>
      </c>
      <c r="E286" s="10">
        <v>45951</v>
      </c>
      <c r="F286" s="10" t="s">
        <v>623</v>
      </c>
      <c r="G286" s="12" t="s">
        <v>1229</v>
      </c>
      <c r="H286" s="40">
        <v>200</v>
      </c>
      <c r="I286" s="40" t="s">
        <v>41</v>
      </c>
      <c r="J286" s="15"/>
      <c r="K286" s="15"/>
      <c r="L286" s="14" t="s">
        <v>1230</v>
      </c>
      <c r="M286" s="41" t="s">
        <v>29</v>
      </c>
    </row>
    <row r="287" spans="2:13" ht="30" customHeight="1" x14ac:dyDescent="0.45">
      <c r="B287" s="10" t="s">
        <v>1387</v>
      </c>
      <c r="C287" s="10" t="s">
        <v>15</v>
      </c>
      <c r="D287" s="13" t="s">
        <v>30</v>
      </c>
      <c r="E287" s="10">
        <v>45947</v>
      </c>
      <c r="F287" s="10" t="s">
        <v>1231</v>
      </c>
      <c r="G287" s="12" t="s">
        <v>1232</v>
      </c>
      <c r="H287" s="40">
        <v>65</v>
      </c>
      <c r="I287" s="40">
        <v>325</v>
      </c>
      <c r="J287" s="15"/>
      <c r="K287" s="15"/>
      <c r="L287" s="14" t="s">
        <v>1233</v>
      </c>
      <c r="M287" s="41" t="s">
        <v>29</v>
      </c>
    </row>
    <row r="288" spans="2:13" ht="30" customHeight="1" x14ac:dyDescent="0.45">
      <c r="B288" s="10" t="s">
        <v>1387</v>
      </c>
      <c r="C288" s="10" t="s">
        <v>15</v>
      </c>
      <c r="D288" s="13" t="s">
        <v>642</v>
      </c>
      <c r="E288" s="10">
        <v>45947</v>
      </c>
      <c r="F288" s="10" t="s">
        <v>1234</v>
      </c>
      <c r="G288" s="12" t="s">
        <v>1235</v>
      </c>
      <c r="H288" s="40">
        <v>250</v>
      </c>
      <c r="I288" s="40">
        <v>3100</v>
      </c>
      <c r="J288" s="15"/>
      <c r="K288" s="15"/>
      <c r="L288" s="14" t="s">
        <v>1236</v>
      </c>
      <c r="M288" s="41" t="s">
        <v>29</v>
      </c>
    </row>
    <row r="289" spans="2:13" ht="30" customHeight="1" x14ac:dyDescent="0.45">
      <c r="B289" s="10" t="s">
        <v>1387</v>
      </c>
      <c r="C289" s="10" t="s">
        <v>9</v>
      </c>
      <c r="D289" s="13" t="s">
        <v>30</v>
      </c>
      <c r="E289" s="10">
        <v>45947</v>
      </c>
      <c r="F289" s="10" t="s">
        <v>1237</v>
      </c>
      <c r="G289" s="12" t="s">
        <v>1238</v>
      </c>
      <c r="H289" s="40">
        <v>35</v>
      </c>
      <c r="I289" s="40" t="s">
        <v>41</v>
      </c>
      <c r="J289" s="15"/>
      <c r="K289" s="15"/>
      <c r="L289" s="14" t="s">
        <v>1239</v>
      </c>
      <c r="M289" s="41" t="s">
        <v>29</v>
      </c>
    </row>
    <row r="290" spans="2:13" ht="30" customHeight="1" x14ac:dyDescent="0.45">
      <c r="B290" s="10" t="s">
        <v>1387</v>
      </c>
      <c r="C290" s="10" t="s">
        <v>16</v>
      </c>
      <c r="D290" s="13" t="s">
        <v>30</v>
      </c>
      <c r="E290" s="10">
        <v>45947</v>
      </c>
      <c r="F290" s="10" t="s">
        <v>1240</v>
      </c>
      <c r="G290" s="12" t="s">
        <v>1241</v>
      </c>
      <c r="H290" s="40">
        <v>500</v>
      </c>
      <c r="I290" s="40">
        <v>5000</v>
      </c>
      <c r="J290" s="15"/>
      <c r="K290" s="15"/>
      <c r="L290" s="14" t="s">
        <v>1242</v>
      </c>
      <c r="M290" s="41" t="s">
        <v>29</v>
      </c>
    </row>
    <row r="291" spans="2:13" ht="30" customHeight="1" x14ac:dyDescent="0.45">
      <c r="B291" s="10" t="s">
        <v>1387</v>
      </c>
      <c r="C291" s="10" t="s">
        <v>15</v>
      </c>
      <c r="D291" s="13" t="s">
        <v>30</v>
      </c>
      <c r="E291" s="10">
        <v>45946</v>
      </c>
      <c r="F291" s="10" t="s">
        <v>1243</v>
      </c>
      <c r="G291" s="12" t="s">
        <v>1244</v>
      </c>
      <c r="H291" s="40">
        <v>165</v>
      </c>
      <c r="I291" s="40">
        <v>7300</v>
      </c>
      <c r="J291" s="15"/>
      <c r="K291" s="15"/>
      <c r="L291" s="14" t="s">
        <v>1245</v>
      </c>
      <c r="M291" s="41" t="s">
        <v>29</v>
      </c>
    </row>
    <row r="292" spans="2:13" ht="30" customHeight="1" x14ac:dyDescent="0.45">
      <c r="B292" s="10" t="s">
        <v>1387</v>
      </c>
      <c r="C292" s="10" t="s">
        <v>9</v>
      </c>
      <c r="D292" s="13" t="s">
        <v>30</v>
      </c>
      <c r="E292" s="10">
        <v>45946</v>
      </c>
      <c r="F292" s="10" t="s">
        <v>1246</v>
      </c>
      <c r="G292" s="12" t="s">
        <v>1247</v>
      </c>
      <c r="H292" s="40">
        <v>22</v>
      </c>
      <c r="I292" s="40" t="s">
        <v>41</v>
      </c>
      <c r="J292" s="15"/>
      <c r="K292" s="15"/>
      <c r="L292" s="14" t="s">
        <v>1248</v>
      </c>
      <c r="M292" s="41" t="s">
        <v>29</v>
      </c>
    </row>
    <row r="293" spans="2:13" ht="30" customHeight="1" x14ac:dyDescent="0.45">
      <c r="B293" s="10" t="s">
        <v>1387</v>
      </c>
      <c r="C293" s="10" t="s">
        <v>12</v>
      </c>
      <c r="D293" s="13" t="s">
        <v>30</v>
      </c>
      <c r="E293" s="10">
        <v>45946</v>
      </c>
      <c r="F293" s="10" t="s">
        <v>1041</v>
      </c>
      <c r="G293" s="12" t="s">
        <v>1103</v>
      </c>
      <c r="H293" s="40">
        <v>300</v>
      </c>
      <c r="I293" s="40">
        <v>17300</v>
      </c>
      <c r="J293" s="15"/>
      <c r="K293" s="15"/>
      <c r="L293" s="14" t="s">
        <v>1249</v>
      </c>
      <c r="M293" s="41" t="s">
        <v>29</v>
      </c>
    </row>
    <row r="294" spans="2:13" ht="30" customHeight="1" x14ac:dyDescent="0.45">
      <c r="B294" s="10" t="s">
        <v>1387</v>
      </c>
      <c r="C294" s="10" t="s">
        <v>10</v>
      </c>
      <c r="D294" s="13" t="s">
        <v>35</v>
      </c>
      <c r="E294" s="10">
        <v>45946</v>
      </c>
      <c r="F294" s="10" t="s">
        <v>1250</v>
      </c>
      <c r="G294" s="12" t="s">
        <v>1251</v>
      </c>
      <c r="H294" s="40">
        <v>50</v>
      </c>
      <c r="I294" s="40" t="s">
        <v>41</v>
      </c>
      <c r="J294" s="15"/>
      <c r="K294" s="15"/>
      <c r="L294" s="14" t="s">
        <v>1252</v>
      </c>
      <c r="M294" s="41" t="s">
        <v>29</v>
      </c>
    </row>
    <row r="295" spans="2:13" ht="30" customHeight="1" x14ac:dyDescent="0.45">
      <c r="B295" s="10" t="s">
        <v>1387</v>
      </c>
      <c r="C295" s="10" t="s">
        <v>12</v>
      </c>
      <c r="D295" s="13" t="s">
        <v>30</v>
      </c>
      <c r="E295" s="10">
        <v>45945</v>
      </c>
      <c r="F295" s="10" t="s">
        <v>1253</v>
      </c>
      <c r="G295" s="12" t="s">
        <v>1207</v>
      </c>
      <c r="H295" s="40">
        <v>65</v>
      </c>
      <c r="I295" s="40">
        <v>392</v>
      </c>
      <c r="J295" s="15"/>
      <c r="K295" s="15"/>
      <c r="L295" s="14" t="s">
        <v>1254</v>
      </c>
      <c r="M295" s="41" t="s">
        <v>29</v>
      </c>
    </row>
    <row r="296" spans="2:13" ht="30" customHeight="1" x14ac:dyDescent="0.45">
      <c r="B296" s="10" t="s">
        <v>1387</v>
      </c>
      <c r="C296" s="10" t="s">
        <v>9</v>
      </c>
      <c r="D296" s="13" t="s">
        <v>110</v>
      </c>
      <c r="E296" s="10">
        <v>45945</v>
      </c>
      <c r="F296" s="10" t="s">
        <v>1255</v>
      </c>
      <c r="G296" s="12" t="s">
        <v>246</v>
      </c>
      <c r="H296" s="40">
        <v>20</v>
      </c>
      <c r="I296" s="40" t="s">
        <v>41</v>
      </c>
      <c r="J296" s="15"/>
      <c r="K296" s="15"/>
      <c r="L296" s="14" t="s">
        <v>1256</v>
      </c>
      <c r="M296" s="41" t="s">
        <v>29</v>
      </c>
    </row>
    <row r="297" spans="2:13" ht="30" customHeight="1" x14ac:dyDescent="0.45">
      <c r="B297" s="10" t="s">
        <v>1387</v>
      </c>
      <c r="C297" s="10" t="s">
        <v>15</v>
      </c>
      <c r="D297" s="13" t="s">
        <v>30</v>
      </c>
      <c r="E297" s="10">
        <v>45945</v>
      </c>
      <c r="F297" s="10" t="s">
        <v>1257</v>
      </c>
      <c r="G297" s="12" t="s">
        <v>1083</v>
      </c>
      <c r="H297" s="40">
        <v>30</v>
      </c>
      <c r="I297" s="40" t="s">
        <v>41</v>
      </c>
      <c r="J297" s="15"/>
      <c r="K297" s="15"/>
      <c r="L297" s="14" t="s">
        <v>1258</v>
      </c>
      <c r="M297" s="41" t="s">
        <v>29</v>
      </c>
    </row>
    <row r="298" spans="2:13" ht="30" customHeight="1" x14ac:dyDescent="0.45">
      <c r="B298" s="10" t="s">
        <v>1387</v>
      </c>
      <c r="C298" s="10" t="s">
        <v>9</v>
      </c>
      <c r="D298" s="13" t="s">
        <v>30</v>
      </c>
      <c r="E298" s="10">
        <v>45945</v>
      </c>
      <c r="F298" s="10" t="s">
        <v>1259</v>
      </c>
      <c r="G298" s="12" t="s">
        <v>1109</v>
      </c>
      <c r="H298" s="40">
        <v>50</v>
      </c>
      <c r="I298" s="40">
        <v>300</v>
      </c>
      <c r="J298" s="15"/>
      <c r="K298" s="15"/>
      <c r="L298" s="14" t="s">
        <v>1260</v>
      </c>
      <c r="M298" s="41" t="s">
        <v>29</v>
      </c>
    </row>
    <row r="299" spans="2:13" ht="30" customHeight="1" x14ac:dyDescent="0.45">
      <c r="B299" s="10" t="s">
        <v>1387</v>
      </c>
      <c r="C299" s="10" t="s">
        <v>15</v>
      </c>
      <c r="D299" s="13" t="s">
        <v>30</v>
      </c>
      <c r="E299" s="10">
        <v>45945</v>
      </c>
      <c r="F299" s="10" t="s">
        <v>1261</v>
      </c>
      <c r="G299" s="12" t="s">
        <v>1262</v>
      </c>
      <c r="H299" s="40">
        <v>300</v>
      </c>
      <c r="I299" s="40">
        <v>1250</v>
      </c>
      <c r="J299" s="15"/>
      <c r="K299" s="15"/>
      <c r="L299" s="14" t="s">
        <v>1263</v>
      </c>
      <c r="M299" s="41" t="s">
        <v>29</v>
      </c>
    </row>
    <row r="300" spans="2:13" ht="30" customHeight="1" x14ac:dyDescent="0.45">
      <c r="B300" s="10" t="s">
        <v>1387</v>
      </c>
      <c r="C300" s="10" t="s">
        <v>10</v>
      </c>
      <c r="D300" s="13" t="s">
        <v>133</v>
      </c>
      <c r="E300" s="10">
        <v>45944</v>
      </c>
      <c r="F300" s="10" t="s">
        <v>1264</v>
      </c>
      <c r="G300" s="12" t="s">
        <v>1265</v>
      </c>
      <c r="H300" s="40">
        <v>25</v>
      </c>
      <c r="I300" s="40" t="s">
        <v>41</v>
      </c>
      <c r="J300" s="15"/>
      <c r="K300" s="15"/>
      <c r="L300" s="14" t="s">
        <v>1266</v>
      </c>
      <c r="M300" s="41" t="s">
        <v>29</v>
      </c>
    </row>
    <row r="301" spans="2:13" ht="30" customHeight="1" x14ac:dyDescent="0.45">
      <c r="B301" s="10" t="s">
        <v>1387</v>
      </c>
      <c r="C301" s="10" t="s">
        <v>17</v>
      </c>
      <c r="D301" s="13" t="s">
        <v>30</v>
      </c>
      <c r="E301" s="10">
        <v>45944</v>
      </c>
      <c r="F301" s="10" t="s">
        <v>1267</v>
      </c>
      <c r="G301" s="12" t="s">
        <v>1118</v>
      </c>
      <c r="H301" s="40">
        <v>33</v>
      </c>
      <c r="I301" s="40">
        <v>153</v>
      </c>
      <c r="J301" s="15"/>
      <c r="K301" s="15"/>
      <c r="L301" s="14" t="s">
        <v>1268</v>
      </c>
      <c r="M301" s="41" t="s">
        <v>29</v>
      </c>
    </row>
    <row r="302" spans="2:13" ht="30" customHeight="1" x14ac:dyDescent="0.45">
      <c r="B302" s="10" t="s">
        <v>1387</v>
      </c>
      <c r="C302" s="10" t="s">
        <v>15</v>
      </c>
      <c r="D302" s="13" t="s">
        <v>30</v>
      </c>
      <c r="E302" s="10">
        <v>45944</v>
      </c>
      <c r="F302" s="10" t="s">
        <v>1269</v>
      </c>
      <c r="G302" s="12" t="s">
        <v>1270</v>
      </c>
      <c r="H302" s="40">
        <v>35</v>
      </c>
      <c r="I302" s="40">
        <v>368</v>
      </c>
      <c r="J302" s="15"/>
      <c r="K302" s="15"/>
      <c r="L302" s="14" t="s">
        <v>1271</v>
      </c>
      <c r="M302" s="41" t="s">
        <v>29</v>
      </c>
    </row>
    <row r="303" spans="2:13" ht="30" customHeight="1" x14ac:dyDescent="0.45">
      <c r="B303" s="10" t="s">
        <v>1387</v>
      </c>
      <c r="C303" s="10" t="s">
        <v>14</v>
      </c>
      <c r="D303" s="13" t="s">
        <v>36</v>
      </c>
      <c r="E303" s="10">
        <v>45943</v>
      </c>
      <c r="F303" s="10" t="s">
        <v>1272</v>
      </c>
      <c r="G303" s="12" t="s">
        <v>1273</v>
      </c>
      <c r="H303" s="40">
        <v>40</v>
      </c>
      <c r="I303" s="40" t="s">
        <v>41</v>
      </c>
      <c r="J303" s="15"/>
      <c r="K303" s="15"/>
      <c r="L303" s="14" t="s">
        <v>1274</v>
      </c>
      <c r="M303" s="41" t="s">
        <v>29</v>
      </c>
    </row>
    <row r="304" spans="2:13" ht="30" customHeight="1" x14ac:dyDescent="0.45">
      <c r="B304" s="10" t="s">
        <v>1387</v>
      </c>
      <c r="C304" s="10" t="s">
        <v>9</v>
      </c>
      <c r="D304" s="13" t="s">
        <v>30</v>
      </c>
      <c r="E304" s="10">
        <v>45943</v>
      </c>
      <c r="F304" s="10" t="s">
        <v>1275</v>
      </c>
      <c r="G304" s="12" t="s">
        <v>1118</v>
      </c>
      <c r="H304" s="40">
        <v>13</v>
      </c>
      <c r="I304" s="40" t="s">
        <v>41</v>
      </c>
      <c r="J304" s="15"/>
      <c r="K304" s="15"/>
      <c r="L304" s="14" t="s">
        <v>1276</v>
      </c>
      <c r="M304" s="41" t="s">
        <v>29</v>
      </c>
    </row>
    <row r="305" spans="2:13" ht="30" customHeight="1" x14ac:dyDescent="0.45">
      <c r="B305" s="10" t="s">
        <v>1387</v>
      </c>
      <c r="C305" s="10" t="s">
        <v>9</v>
      </c>
      <c r="D305" s="13" t="s">
        <v>361</v>
      </c>
      <c r="E305" s="10">
        <v>45940</v>
      </c>
      <c r="F305" s="10" t="s">
        <v>1277</v>
      </c>
      <c r="G305" s="12" t="s">
        <v>1083</v>
      </c>
      <c r="H305" s="40" t="s">
        <v>41</v>
      </c>
      <c r="I305" s="40" t="s">
        <v>41</v>
      </c>
      <c r="J305" s="15"/>
      <c r="K305" s="15"/>
      <c r="L305" s="14" t="s">
        <v>1278</v>
      </c>
      <c r="M305" s="41" t="s">
        <v>29</v>
      </c>
    </row>
    <row r="306" spans="2:13" ht="30" customHeight="1" x14ac:dyDescent="0.45">
      <c r="B306" s="10" t="s">
        <v>1387</v>
      </c>
      <c r="C306" s="10" t="s">
        <v>16</v>
      </c>
      <c r="D306" s="13" t="s">
        <v>30</v>
      </c>
      <c r="E306" s="10">
        <v>45940</v>
      </c>
      <c r="F306" s="10" t="s">
        <v>1091</v>
      </c>
      <c r="G306" s="12" t="s">
        <v>1103</v>
      </c>
      <c r="H306" s="40">
        <v>300</v>
      </c>
      <c r="I306" s="40">
        <v>5000</v>
      </c>
      <c r="J306" s="15"/>
      <c r="K306" s="15"/>
      <c r="L306" s="14" t="s">
        <v>1093</v>
      </c>
      <c r="M306" s="41" t="s">
        <v>29</v>
      </c>
    </row>
    <row r="307" spans="2:13" ht="30" customHeight="1" x14ac:dyDescent="0.45">
      <c r="B307" s="10" t="s">
        <v>1387</v>
      </c>
      <c r="C307" s="10" t="s">
        <v>15</v>
      </c>
      <c r="D307" s="13" t="s">
        <v>30</v>
      </c>
      <c r="E307" s="10">
        <v>45939</v>
      </c>
      <c r="F307" s="10" t="s">
        <v>455</v>
      </c>
      <c r="G307" s="12" t="s">
        <v>1279</v>
      </c>
      <c r="H307" s="40">
        <v>50</v>
      </c>
      <c r="I307" s="40" t="s">
        <v>41</v>
      </c>
      <c r="J307" s="15"/>
      <c r="K307" s="15"/>
      <c r="L307" s="14" t="s">
        <v>456</v>
      </c>
      <c r="M307" s="41" t="s">
        <v>29</v>
      </c>
    </row>
    <row r="308" spans="2:13" ht="30" customHeight="1" x14ac:dyDescent="0.45">
      <c r="B308" s="10" t="s">
        <v>1387</v>
      </c>
      <c r="C308" s="10" t="s">
        <v>10</v>
      </c>
      <c r="D308" s="13" t="s">
        <v>30</v>
      </c>
      <c r="E308" s="10">
        <v>45939</v>
      </c>
      <c r="F308" s="10" t="s">
        <v>1280</v>
      </c>
      <c r="G308" s="12" t="s">
        <v>1281</v>
      </c>
      <c r="H308" s="40">
        <v>27</v>
      </c>
      <c r="I308" s="40">
        <v>62</v>
      </c>
      <c r="J308" s="15"/>
      <c r="K308" s="15"/>
      <c r="L308" s="14" t="s">
        <v>1282</v>
      </c>
      <c r="M308" s="41" t="s">
        <v>29</v>
      </c>
    </row>
    <row r="309" spans="2:13" ht="30" customHeight="1" x14ac:dyDescent="0.45">
      <c r="B309" s="10" t="s">
        <v>1387</v>
      </c>
      <c r="C309" s="10" t="s">
        <v>9</v>
      </c>
      <c r="D309" s="13" t="s">
        <v>361</v>
      </c>
      <c r="E309" s="10">
        <v>45938</v>
      </c>
      <c r="F309" s="10" t="s">
        <v>1283</v>
      </c>
      <c r="G309" s="12" t="s">
        <v>1284</v>
      </c>
      <c r="H309" s="40">
        <v>22</v>
      </c>
      <c r="I309" s="40" t="s">
        <v>41</v>
      </c>
      <c r="J309" s="15"/>
      <c r="K309" s="15"/>
      <c r="L309" s="14" t="s">
        <v>1285</v>
      </c>
      <c r="M309" s="41" t="s">
        <v>29</v>
      </c>
    </row>
    <row r="310" spans="2:13" ht="30" customHeight="1" x14ac:dyDescent="0.45">
      <c r="B310" s="10" t="s">
        <v>1387</v>
      </c>
      <c r="C310" s="10" t="s">
        <v>10</v>
      </c>
      <c r="D310" s="13" t="s">
        <v>1288</v>
      </c>
      <c r="E310" s="10">
        <v>45938</v>
      </c>
      <c r="F310" s="10" t="s">
        <v>1286</v>
      </c>
      <c r="G310" s="12" t="s">
        <v>1287</v>
      </c>
      <c r="H310" s="40">
        <v>40</v>
      </c>
      <c r="I310" s="40" t="s">
        <v>41</v>
      </c>
      <c r="J310" s="15"/>
      <c r="K310" s="15"/>
      <c r="L310" s="14" t="s">
        <v>1289</v>
      </c>
      <c r="M310" s="41" t="s">
        <v>29</v>
      </c>
    </row>
    <row r="311" spans="2:13" ht="30" customHeight="1" x14ac:dyDescent="0.45">
      <c r="B311" s="10" t="s">
        <v>1387</v>
      </c>
      <c r="C311" s="10" t="s">
        <v>10</v>
      </c>
      <c r="D311" s="13" t="s">
        <v>30</v>
      </c>
      <c r="E311" s="10">
        <v>45938</v>
      </c>
      <c r="F311" s="10" t="s">
        <v>1290</v>
      </c>
      <c r="G311" s="12" t="s">
        <v>1291</v>
      </c>
      <c r="H311" s="40">
        <v>25</v>
      </c>
      <c r="I311" s="40">
        <v>127</v>
      </c>
      <c r="J311" s="15"/>
      <c r="K311" s="15"/>
      <c r="L311" s="14" t="s">
        <v>1292</v>
      </c>
      <c r="M311" s="41" t="s">
        <v>29</v>
      </c>
    </row>
    <row r="312" spans="2:13" ht="30" customHeight="1" x14ac:dyDescent="0.45">
      <c r="B312" s="10" t="s">
        <v>1387</v>
      </c>
      <c r="C312" s="10" t="s">
        <v>9</v>
      </c>
      <c r="D312" s="13" t="s">
        <v>30</v>
      </c>
      <c r="E312" s="10">
        <v>45938</v>
      </c>
      <c r="F312" s="10" t="s">
        <v>1293</v>
      </c>
      <c r="G312" s="12" t="s">
        <v>1294</v>
      </c>
      <c r="H312" s="40">
        <v>10</v>
      </c>
      <c r="I312" s="40" t="s">
        <v>41</v>
      </c>
      <c r="J312" s="15"/>
      <c r="K312" s="15"/>
      <c r="L312" s="14" t="s">
        <v>1295</v>
      </c>
      <c r="M312" s="41" t="s">
        <v>29</v>
      </c>
    </row>
    <row r="313" spans="2:13" ht="30" customHeight="1" x14ac:dyDescent="0.45">
      <c r="B313" s="10" t="s">
        <v>1387</v>
      </c>
      <c r="C313" s="10" t="s">
        <v>9</v>
      </c>
      <c r="D313" s="13" t="s">
        <v>361</v>
      </c>
      <c r="E313" s="10">
        <v>45937</v>
      </c>
      <c r="F313" s="10" t="s">
        <v>1296</v>
      </c>
      <c r="G313" s="12" t="s">
        <v>1297</v>
      </c>
      <c r="H313" s="40">
        <v>82</v>
      </c>
      <c r="I313" s="40" t="s">
        <v>41</v>
      </c>
      <c r="J313" s="15"/>
      <c r="K313" s="15"/>
      <c r="L313" s="14" t="s">
        <v>1298</v>
      </c>
      <c r="M313" s="41" t="s">
        <v>29</v>
      </c>
    </row>
    <row r="314" spans="2:13" ht="30" customHeight="1" x14ac:dyDescent="0.45">
      <c r="B314" s="10" t="s">
        <v>1387</v>
      </c>
      <c r="C314" s="10" t="s">
        <v>10</v>
      </c>
      <c r="D314" s="13" t="s">
        <v>161</v>
      </c>
      <c r="E314" s="10">
        <v>45936</v>
      </c>
      <c r="F314" s="10" t="s">
        <v>1299</v>
      </c>
      <c r="G314" s="12" t="s">
        <v>1118</v>
      </c>
      <c r="H314" s="40">
        <v>20</v>
      </c>
      <c r="I314" s="40" t="s">
        <v>41</v>
      </c>
      <c r="J314" s="15"/>
      <c r="K314" s="15"/>
      <c r="L314" s="14" t="s">
        <v>1300</v>
      </c>
      <c r="M314" s="41" t="s">
        <v>29</v>
      </c>
    </row>
    <row r="315" spans="2:13" ht="30" customHeight="1" x14ac:dyDescent="0.45">
      <c r="B315" s="10" t="s">
        <v>1387</v>
      </c>
      <c r="C315" s="10" t="s">
        <v>16</v>
      </c>
      <c r="D315" s="13" t="s">
        <v>36</v>
      </c>
      <c r="E315" s="10">
        <v>45936</v>
      </c>
      <c r="F315" s="10" t="s">
        <v>1301</v>
      </c>
      <c r="G315" s="12" t="s">
        <v>1302</v>
      </c>
      <c r="H315" s="40">
        <v>120</v>
      </c>
      <c r="I315" s="40">
        <v>1200</v>
      </c>
      <c r="J315" s="15"/>
      <c r="K315" s="15"/>
      <c r="L315" s="14" t="s">
        <v>1303</v>
      </c>
      <c r="M315" s="41" t="s">
        <v>29</v>
      </c>
    </row>
    <row r="316" spans="2:13" ht="30" customHeight="1" x14ac:dyDescent="0.45">
      <c r="B316" s="10" t="s">
        <v>1387</v>
      </c>
      <c r="C316" s="10" t="s">
        <v>10</v>
      </c>
      <c r="D316" s="13" t="s">
        <v>1306</v>
      </c>
      <c r="E316" s="10">
        <v>45932</v>
      </c>
      <c r="F316" s="10" t="s">
        <v>1304</v>
      </c>
      <c r="G316" s="12" t="s">
        <v>1305</v>
      </c>
      <c r="H316" s="40">
        <v>75</v>
      </c>
      <c r="I316" s="40">
        <v>2000</v>
      </c>
      <c r="J316" s="15"/>
      <c r="K316" s="15"/>
      <c r="L316" s="14" t="s">
        <v>1307</v>
      </c>
      <c r="M316" s="41" t="s">
        <v>29</v>
      </c>
    </row>
    <row r="317" spans="2:13" ht="30" customHeight="1" x14ac:dyDescent="0.45">
      <c r="B317" s="10" t="s">
        <v>1387</v>
      </c>
      <c r="C317" s="10" t="s">
        <v>16</v>
      </c>
      <c r="D317" s="13" t="s">
        <v>110</v>
      </c>
      <c r="E317" s="10">
        <v>45932</v>
      </c>
      <c r="F317" s="10" t="s">
        <v>1308</v>
      </c>
      <c r="G317" s="12" t="s">
        <v>1309</v>
      </c>
      <c r="H317" s="40">
        <v>42</v>
      </c>
      <c r="I317" s="40" t="s">
        <v>41</v>
      </c>
      <c r="J317" s="15"/>
      <c r="K317" s="15"/>
      <c r="L317" s="14" t="s">
        <v>1310</v>
      </c>
      <c r="M317" s="41" t="s">
        <v>29</v>
      </c>
    </row>
    <row r="318" spans="2:13" ht="30" customHeight="1" x14ac:dyDescent="0.45">
      <c r="B318" s="10" t="s">
        <v>1387</v>
      </c>
      <c r="C318" s="10" t="s">
        <v>17</v>
      </c>
      <c r="D318" s="13" t="s">
        <v>30</v>
      </c>
      <c r="E318" s="10">
        <v>45932</v>
      </c>
      <c r="F318" s="10" t="s">
        <v>1311</v>
      </c>
      <c r="G318" s="12" t="s">
        <v>1130</v>
      </c>
      <c r="H318" s="40">
        <v>90</v>
      </c>
      <c r="I318" s="40">
        <v>415</v>
      </c>
      <c r="J318" s="15"/>
      <c r="K318" s="15"/>
      <c r="L318" s="14" t="s">
        <v>1312</v>
      </c>
      <c r="M318" s="41" t="s">
        <v>29</v>
      </c>
    </row>
    <row r="319" spans="2:13" ht="30" customHeight="1" x14ac:dyDescent="0.45">
      <c r="B319" s="10" t="s">
        <v>1387</v>
      </c>
      <c r="C319" s="10" t="s">
        <v>14</v>
      </c>
      <c r="D319" s="13" t="s">
        <v>271</v>
      </c>
      <c r="E319" s="10">
        <v>45931</v>
      </c>
      <c r="F319" s="10" t="s">
        <v>1316</v>
      </c>
      <c r="G319" s="12" t="s">
        <v>1178</v>
      </c>
      <c r="H319" s="40">
        <v>30</v>
      </c>
      <c r="I319" s="40" t="s">
        <v>41</v>
      </c>
      <c r="J319" s="15"/>
      <c r="K319" s="15"/>
      <c r="L319" s="14" t="s">
        <v>1317</v>
      </c>
      <c r="M319" s="41" t="s">
        <v>29</v>
      </c>
    </row>
    <row r="320" spans="2:13" x14ac:dyDescent="0.45">
      <c r="B320" s="38"/>
    </row>
    <row r="321" spans="1:7" x14ac:dyDescent="0.45">
      <c r="A321" s="1" t="s">
        <v>18</v>
      </c>
      <c r="B321" s="29"/>
      <c r="F321" s="33" t="s">
        <v>24</v>
      </c>
    </row>
    <row r="322" spans="1:7" x14ac:dyDescent="0.45">
      <c r="B322" s="34"/>
      <c r="F322" s="1" t="e">
        <f>COUNTIFS(#REF!,$A$321,C:C,#REF!)</f>
        <v>#REF!</v>
      </c>
    </row>
    <row r="323" spans="1:7" x14ac:dyDescent="0.45">
      <c r="B323" s="34"/>
      <c r="F323" s="1" t="e">
        <f>COUNTIFS(#REF!,$A$321,C:C,#REF!)</f>
        <v>#REF!</v>
      </c>
    </row>
    <row r="324" spans="1:7" x14ac:dyDescent="0.45">
      <c r="B324" s="34"/>
      <c r="F324" s="1" t="e">
        <f>COUNTIFS(#REF!,$A$321,C:C,#REF!)</f>
        <v>#REF!</v>
      </c>
    </row>
    <row r="325" spans="1:7" x14ac:dyDescent="0.45">
      <c r="B325" s="34"/>
      <c r="F325" s="1" t="e">
        <f>COUNTIFS(#REF!,$A$321,C:C,#REF!)</f>
        <v>#REF!</v>
      </c>
    </row>
    <row r="326" spans="1:7" x14ac:dyDescent="0.45">
      <c r="B326" s="34"/>
      <c r="F326" s="1" t="e">
        <f>COUNTIFS(#REF!,$A$321,C:C,#REF!)</f>
        <v>#REF!</v>
      </c>
    </row>
    <row r="327" spans="1:7" x14ac:dyDescent="0.45">
      <c r="B327" s="34"/>
      <c r="F327" s="1" t="e">
        <f>COUNTIFS(#REF!,$A$321,C:C,#REF!)</f>
        <v>#REF!</v>
      </c>
    </row>
    <row r="328" spans="1:7" x14ac:dyDescent="0.45">
      <c r="B328" s="34"/>
      <c r="F328" s="1" t="e">
        <f>COUNTIFS(#REF!,$A$321,C:C,#REF!)</f>
        <v>#REF!</v>
      </c>
    </row>
    <row r="329" spans="1:7" x14ac:dyDescent="0.45">
      <c r="B329" s="34"/>
      <c r="F329" s="1" t="e">
        <f>COUNTIFS(#REF!,$A$321,C:C,#REF!)</f>
        <v>#REF!</v>
      </c>
      <c r="G329" s="35"/>
    </row>
  </sheetData>
  <autoFilter ref="A3:M319" xr:uid="{565DDF23-1224-485F-BED3-4C13F8CDDB83}">
    <sortState xmlns:xlrd2="http://schemas.microsoft.com/office/spreadsheetml/2017/richdata2" ref="A4:M319">
      <sortCondition descending="1" ref="E3:E319"/>
    </sortState>
  </autoFilter>
  <sortState xmlns:xlrd2="http://schemas.microsoft.com/office/spreadsheetml/2017/richdata2" ref="A102:M106">
    <sortCondition ref="C102:C106"/>
  </sortState>
  <conditionalFormatting sqref="B320">
    <cfRule type="duplicateValues" dxfId="3" priority="842"/>
  </conditionalFormatting>
  <conditionalFormatting sqref="F21">
    <cfRule type="duplicateValues" dxfId="2" priority="2"/>
  </conditionalFormatting>
  <conditionalFormatting sqref="F12:G13">
    <cfRule type="duplicateValues" dxfId="1" priority="1"/>
  </conditionalFormatting>
  <hyperlinks>
    <hyperlink ref="M219" r:id="rId1" xr:uid="{3F35FE7B-C279-4C3B-8EC3-8D6772644C1D}"/>
    <hyperlink ref="M220" r:id="rId2" xr:uid="{D9ADAF6C-F002-47B5-A90F-1E28F89C20C6}"/>
    <hyperlink ref="M223" r:id="rId3" xr:uid="{0EF9EEE9-BB62-49E9-B2F4-DE29475D0384}"/>
    <hyperlink ref="M216" r:id="rId4" xr:uid="{A0844021-39EC-407F-ACAA-E536E11BF2DA}"/>
    <hyperlink ref="M211" r:id="rId5" xr:uid="{8971A685-7C25-45B9-A9C3-A6771113C5B6}"/>
    <hyperlink ref="M215" r:id="rId6" xr:uid="{253C52E6-8FBE-4299-BCA3-A2C295EF10D3}"/>
    <hyperlink ref="M214" r:id="rId7" xr:uid="{0B76BBE1-EE91-4C71-A4AD-226699B616FF}"/>
    <hyperlink ref="M213" r:id="rId8" xr:uid="{3B87FC0A-A8AA-4CEB-9F10-BA328B7CD883}"/>
    <hyperlink ref="M222" r:id="rId9" xr:uid="{59731B57-1C7E-4B89-8289-74C186A47420}"/>
    <hyperlink ref="M221" r:id="rId10" xr:uid="{69CE0FBF-3A1D-40E1-9D8E-03E8D1FAC8D8}"/>
    <hyperlink ref="M212" r:id="rId11" xr:uid="{1E099636-D623-46FB-8AC3-03942BF1E748}"/>
    <hyperlink ref="M207" r:id="rId12" xr:uid="{D21E1C1C-9A1D-4E09-8877-19F13B55A9FF}"/>
    <hyperlink ref="M204" r:id="rId13" xr:uid="{8EF1A67F-6861-4241-BAFF-8847264E13B3}"/>
    <hyperlink ref="M210" r:id="rId14" xr:uid="{24E37968-97A9-4507-87F1-6120FE1EC208}"/>
    <hyperlink ref="M206" r:id="rId15" xr:uid="{2AEBB2E6-50C8-48C6-A40B-95C5EA3C4675}"/>
    <hyperlink ref="M202" r:id="rId16" xr:uid="{046819F5-E507-4632-AEBE-7A66CB0FCB38}"/>
    <hyperlink ref="M209" r:id="rId17" xr:uid="{87E59F01-F3AB-40E4-AB19-1012C69BDBCA}"/>
    <hyperlink ref="M203" r:id="rId18" xr:uid="{3ED68AB2-6F66-4DE1-B833-D6AFFD60F6D3}"/>
    <hyperlink ref="M196" r:id="rId19" xr:uid="{B6C9825B-A7AD-4ECC-BF44-B499611041F1}"/>
    <hyperlink ref="M199" r:id="rId20" xr:uid="{41D6446E-7EA8-4D99-ABD5-93ED2C242637}"/>
    <hyperlink ref="M217" r:id="rId21" xr:uid="{0D0E2162-B3A7-4611-8749-17BC12A2CC2C}"/>
    <hyperlink ref="M198" r:id="rId22" xr:uid="{C26E8D39-AEC9-49AA-B5AF-45C79D85B408}"/>
    <hyperlink ref="M197" r:id="rId23" xr:uid="{FE76CFA6-20B5-45FE-B03A-57E735C3ADE7}"/>
    <hyperlink ref="M190" r:id="rId24" xr:uid="{0D50B1A5-2105-43B4-A508-F6B6A8909DD3}"/>
    <hyperlink ref="M191" r:id="rId25" xr:uid="{E1D5A86A-BEAA-4EF2-8AF9-8C4E7563C6BD}"/>
    <hyperlink ref="M186" r:id="rId26" xr:uid="{3183B506-69D2-49CF-923B-3A78E3008237}"/>
    <hyperlink ref="M201" r:id="rId27" xr:uid="{2192C66A-C54E-400B-8AC2-8C3539503263}"/>
    <hyperlink ref="M194" r:id="rId28" xr:uid="{2761BA7C-132D-429C-B162-ACE69FF8E707}"/>
    <hyperlink ref="M193" r:id="rId29" xr:uid="{9ABBCED3-B165-40E4-B801-D2966CCD9D5F}"/>
    <hyperlink ref="M188" r:id="rId30" xr:uid="{FF2DE0D5-20E6-4E05-A35C-7AE05D2706D1}"/>
    <hyperlink ref="M184" r:id="rId31" xr:uid="{C5FAC0EC-6399-4FCC-9611-94B994D4A439}"/>
    <hyperlink ref="M185" r:id="rId32" xr:uid="{85F52340-65E8-4AA7-96FD-57CD045BC8C8}"/>
    <hyperlink ref="M187" r:id="rId33" xr:uid="{6E0084BE-43F0-457F-ACD2-9CB078D840A2}"/>
    <hyperlink ref="M180" r:id="rId34" xr:uid="{01ACBCD6-F4B8-4C7E-BAF3-E8C5B0D48742}"/>
    <hyperlink ref="M195" r:id="rId35" xr:uid="{CA58B1CF-FFB4-4F05-A075-3C65405C1714}"/>
    <hyperlink ref="M182" r:id="rId36" xr:uid="{0A127013-ED41-4909-8D0C-24937D895258}"/>
    <hyperlink ref="M183" r:id="rId37" xr:uid="{4A884C6F-7A87-4626-9CF4-8FA695E12708}"/>
    <hyperlink ref="M189" r:id="rId38" xr:uid="{59190A1F-45C8-44CA-A041-ABFBF97F0ECF}"/>
    <hyperlink ref="M181" r:id="rId39" xr:uid="{E5DCC333-B376-4CAF-BA2C-B81DDB205B4B}"/>
    <hyperlink ref="M172" r:id="rId40" xr:uid="{C669DA61-EE36-40AB-B6C4-FC6C558356F7}"/>
    <hyperlink ref="M175" r:id="rId41" xr:uid="{C267209F-7B61-4031-9BE7-95BB4D08F86B}"/>
    <hyperlink ref="M174" r:id="rId42" xr:uid="{D337E6A5-AA00-4BD7-B414-A1D916831C27}"/>
    <hyperlink ref="M179" r:id="rId43" xr:uid="{8F8A914B-ABBD-474D-99E4-00D019AEE9A5}"/>
    <hyperlink ref="M178" r:id="rId44" xr:uid="{A139AEA8-E289-4A40-8844-8ADE64872A40}"/>
    <hyperlink ref="M165" r:id="rId45" xr:uid="{08A84A62-943D-4DC2-BD7E-33BC5AB33089}"/>
    <hyperlink ref="M176" r:id="rId46" xr:uid="{F0EC596A-63E4-462F-8AD5-E1923B7A7507}"/>
    <hyperlink ref="M169" r:id="rId47" xr:uid="{76CC7B80-B6D0-4B88-9D11-3A7CE9F4EC10}"/>
    <hyperlink ref="M168" r:id="rId48" xr:uid="{AB7009CA-9FC3-4AA2-AA53-6DA0F242EDFF}"/>
    <hyperlink ref="M167" r:id="rId49" xr:uid="{ED3730DF-1127-404D-9D32-FF7A55F91761}"/>
    <hyperlink ref="M171" r:id="rId50" xr:uid="{602759D3-22F3-455D-BA6A-190EAAEE44C4}"/>
    <hyperlink ref="M166" r:id="rId51" xr:uid="{F3715587-0822-45E2-88DC-68F9E925F74A}"/>
    <hyperlink ref="M160" r:id="rId52" xr:uid="{65C9023E-DF91-4587-8933-584C465C5FF6}"/>
    <hyperlink ref="M161" r:id="rId53" xr:uid="{28B496CE-0117-4874-8E6F-349729062329}"/>
    <hyperlink ref="M164" r:id="rId54" xr:uid="{AAFA36BD-487D-4C0B-98B7-3A06F106877C}"/>
    <hyperlink ref="M173" r:id="rId55" xr:uid="{E676565B-70F5-4323-9C2C-2AA6310C5731}"/>
    <hyperlink ref="M177" r:id="rId56" xr:uid="{7C70A5A1-9386-4421-B700-6003C091CBE0}"/>
    <hyperlink ref="M205" r:id="rId57" xr:uid="{6FCDBE35-E8CA-4336-AE66-2A4BFD0C5DAC}"/>
    <hyperlink ref="M224" r:id="rId58" xr:uid="{938B676E-12E9-4760-A659-7128F58533E8}"/>
    <hyperlink ref="M218" r:id="rId59" xr:uid="{265395D3-9589-4AE4-99B2-3618BCD4B2CA}"/>
    <hyperlink ref="M192" r:id="rId60" xr:uid="{CC32A3D4-1E1C-4FBD-AE6C-E79382258DB6}"/>
    <hyperlink ref="M200" r:id="rId61" xr:uid="{A21EE198-0C58-4F32-A937-8660EE97BA43}"/>
    <hyperlink ref="M208" r:id="rId62" xr:uid="{BF0D261A-117F-4C23-BDB5-BD89492D7AD8}"/>
    <hyperlink ref="M155" r:id="rId63" xr:uid="{CF8752CC-E3B4-4A80-899C-39EE2ECA06D1}"/>
    <hyperlink ref="M158" r:id="rId64" xr:uid="{04F2CC9E-D059-49C1-A021-8012E07013C1}"/>
    <hyperlink ref="M157" r:id="rId65" xr:uid="{A88ED17C-8FCF-4F66-9272-10227D09C955}"/>
    <hyperlink ref="M152" r:id="rId66" xr:uid="{0490C382-C64B-4BF8-B1E2-377BBD42FAAC}"/>
    <hyperlink ref="M140" r:id="rId67" xr:uid="{939BFB8A-7078-403C-995E-CAB3FFDDE2D9}"/>
    <hyperlink ref="M153" r:id="rId68" xr:uid="{0C10E9FA-C064-4A50-A8DD-38C1848CC0A8}"/>
    <hyperlink ref="M163" r:id="rId69" xr:uid="{0E2BFA5E-1AD6-4C15-A02F-98FAD9A60D9E}"/>
    <hyperlink ref="M159" r:id="rId70" xr:uid="{CEC9368E-DF40-40E0-B055-759AE1E01674}"/>
    <hyperlink ref="M162" r:id="rId71" xr:uid="{E772AED0-CD86-4430-A7A6-82FB8FB66EFB}"/>
    <hyperlink ref="M154" r:id="rId72" xr:uid="{09B3E0A8-D574-4A12-AFB5-1EF263AA1E2A}"/>
    <hyperlink ref="M150" r:id="rId73" xr:uid="{A0FF1E15-8B8A-406C-9786-29DE627AB43B}"/>
    <hyperlink ref="M156" r:id="rId74" xr:uid="{B6D042EE-0DAA-4774-86E0-717496B212FF}"/>
    <hyperlink ref="M151" r:id="rId75" xr:uid="{FD7B2430-60B5-4687-A376-4BBB56469F17}"/>
    <hyperlink ref="M148" r:id="rId76" xr:uid="{CC3310DE-5D6B-44C3-B90E-7CF5F8E369F2}"/>
    <hyperlink ref="M149" r:id="rId77" xr:uid="{21AF14E8-610B-47A0-A357-0D8285E5E8AA}"/>
    <hyperlink ref="M146" r:id="rId78" xr:uid="{21A349F6-9548-4C38-AD4A-C4F958118766}"/>
    <hyperlink ref="M147" r:id="rId79" xr:uid="{7FB10846-E685-4262-A41D-13907B73626E}"/>
    <hyperlink ref="M144" r:id="rId80" xr:uid="{F3815891-BD5F-4D44-BF75-899B1F8B0AD8}"/>
    <hyperlink ref="M142" r:id="rId81" xr:uid="{CF1CF26E-DC95-45E6-A0D3-A163CD27A509}"/>
    <hyperlink ref="M141" r:id="rId82" xr:uid="{11A865A4-D12A-473D-90C4-45836C5951A5}"/>
    <hyperlink ref="M145" r:id="rId83" xr:uid="{0456DD16-2697-4085-9343-10F8A5B02F9D}"/>
    <hyperlink ref="M125" r:id="rId84" xr:uid="{C5A95416-B589-4941-BFB7-17100328614E}"/>
    <hyperlink ref="M130" r:id="rId85" xr:uid="{4C03AF6A-6F54-411A-A19B-EE909C85995A}"/>
    <hyperlink ref="M131" r:id="rId86" xr:uid="{069DA8F9-1281-4838-A506-895C39B18956}"/>
    <hyperlink ref="M129" r:id="rId87" xr:uid="{9C7673B2-0B03-4CA0-9A38-7654FC5A88E4}"/>
    <hyperlink ref="M127" r:id="rId88" xr:uid="{9AC255EA-1E36-4ECC-9EDA-ADC711047F5C}"/>
    <hyperlink ref="M128" r:id="rId89" xr:uid="{BBBC32DE-6495-41B5-9043-E0FD623E8F53}"/>
    <hyperlink ref="M133" r:id="rId90" xr:uid="{25B3FBA5-7A21-43D6-80DE-E13884823E90}"/>
    <hyperlink ref="M138" r:id="rId91" xr:uid="{FD8E8A36-00B0-46D9-9737-543A863B01F9}"/>
    <hyperlink ref="M137" r:id="rId92" xr:uid="{A85DFE5D-9250-4DBF-B197-3E8D73838553}"/>
    <hyperlink ref="M132" r:id="rId93" xr:uid="{24E53E22-1502-4485-B576-5D6FDB862A52}"/>
    <hyperlink ref="M143" r:id="rId94" xr:uid="{79413D54-7E14-4FC4-BA78-0ED734238AAD}"/>
    <hyperlink ref="M134" r:id="rId95" xr:uid="{55D18898-8DAD-4598-9151-44C8CCA6EC5F}"/>
    <hyperlink ref="M136" r:id="rId96" xr:uid="{5D0BFC17-5C94-4ACC-9D77-A1A4E743EB1F}"/>
    <hyperlink ref="M135" r:id="rId97" xr:uid="{4ACACC22-BCB8-4F23-BD07-1D7655256A69}"/>
    <hyperlink ref="M139" r:id="rId98" xr:uid="{F2FC3A08-988E-4114-936A-E015558B24A4}"/>
    <hyperlink ref="M124" r:id="rId99" xr:uid="{C6BA8E3D-20B6-4C19-988F-B66D1F314437}"/>
    <hyperlink ref="M116" r:id="rId100" xr:uid="{7AD8490E-B942-4FB6-8F18-02C5ED629F5A}"/>
    <hyperlink ref="M120" r:id="rId101" xr:uid="{CC9F7092-257B-4FBA-A257-5A45220BE50D}"/>
    <hyperlink ref="M118" r:id="rId102" xr:uid="{3BC229C8-75F5-4328-9FE9-64B9D42D0634}"/>
    <hyperlink ref="M122" r:id="rId103" xr:uid="{03CE1CD8-8ED7-4A46-BB80-54927F436510}"/>
    <hyperlink ref="M123" r:id="rId104" xr:uid="{4662C9E5-2F84-4046-8DA4-602260C6B25C}"/>
    <hyperlink ref="M119" r:id="rId105" xr:uid="{638F0B2D-9058-4DC9-99BC-EB7CEF9A12F5}"/>
    <hyperlink ref="M121" r:id="rId106" xr:uid="{464045AD-58C7-4C26-B31B-CE6CE9522BCC}"/>
    <hyperlink ref="M117" r:id="rId107" xr:uid="{7D0B41AE-50FA-4F81-ADD3-2BF59D13A441}"/>
    <hyperlink ref="M115" r:id="rId108" xr:uid="{3BC9B975-6390-443F-84EC-ECDCC48E8793}"/>
    <hyperlink ref="M170" r:id="rId109" xr:uid="{071DB391-B3F2-4649-99E1-E2E648F3FD89}"/>
    <hyperlink ref="M114" r:id="rId110" xr:uid="{2AE132A6-FEE0-4C9D-853E-C11182F38F81}"/>
    <hyperlink ref="M311" r:id="rId111" xr:uid="{60D291FB-2CED-4BCB-8B8D-B0D8577E20A6}"/>
    <hyperlink ref="M275" r:id="rId112" xr:uid="{2C2BF31A-27F5-406A-94B9-E809414D1C38}"/>
    <hyperlink ref="M262" r:id="rId113" xr:uid="{E98E9DEE-4496-48EE-A509-27488DB9F057}"/>
    <hyperlink ref="M266" r:id="rId114" xr:uid="{BDE0CE4E-7C29-4A8E-9F22-4E5A61250741}"/>
    <hyperlink ref="M274" r:id="rId115" xr:uid="{BFCEA3CB-9876-47E3-82B3-2B3A7E4673C7}"/>
    <hyperlink ref="M271" r:id="rId116" xr:uid="{40B5E087-2852-4D1D-B888-DE8EE5D05D58}"/>
    <hyperlink ref="M272" r:id="rId117" xr:uid="{601252AD-27E9-4AC9-81DC-6A108176DA37}"/>
    <hyperlink ref="M277" r:id="rId118" xr:uid="{F8196C11-782F-410D-AAE4-D34BAA7AB501}"/>
    <hyperlink ref="M285" r:id="rId119" xr:uid="{988F7C00-7C1E-42D1-BCD9-D50A01785419}"/>
    <hyperlink ref="M279" r:id="rId120" xr:uid="{6077E409-B10D-414F-8428-FC2893DFDA4D}"/>
    <hyperlink ref="M283" r:id="rId121" xr:uid="{9D8B6932-6330-4A1F-A6EB-2F771C524A4E}"/>
    <hyperlink ref="M282" r:id="rId122" xr:uid="{F6D7D78D-DF35-43A4-9DCE-6C74FA496DD7}"/>
    <hyperlink ref="M286" r:id="rId123" xr:uid="{C7F65D21-CB99-4DC9-918C-22A4515616A0}"/>
    <hyperlink ref="M296" r:id="rId124" xr:uid="{6F5FA66C-A43A-4386-A5DB-7332B9A3A463}"/>
    <hyperlink ref="M292" r:id="rId125" xr:uid="{74CCEE81-A4DB-4A04-8B35-BEC1F40410AA}"/>
    <hyperlink ref="M293" r:id="rId126" xr:uid="{82C84981-E69B-4E5F-81AA-2010E134D7A8}"/>
    <hyperlink ref="M289" r:id="rId127" xr:uid="{11D8F850-2220-4115-A3AF-0901F786B86A}"/>
    <hyperlink ref="M257" r:id="rId128" xr:uid="{76ED76B2-972E-4A18-9F9D-0A3F27A77D19}"/>
    <hyperlink ref="M276" r:id="rId129" xr:uid="{B979115E-ECEB-402E-A5DD-19817F772F2B}"/>
    <hyperlink ref="M310" r:id="rId130" xr:uid="{EC09EFD1-66FE-48D3-9882-4E244F04B376}"/>
    <hyperlink ref="M316" r:id="rId131" xr:uid="{C02DC7F2-4B2E-41F8-814F-D72C5D6FD8E4}"/>
    <hyperlink ref="M267" r:id="rId132" xr:uid="{C7286206-CF74-473A-BA28-050EE7A51260}"/>
    <hyperlink ref="M278" r:id="rId133" xr:uid="{8FCBDF33-C700-4124-91F7-E630DE99BB2C}"/>
    <hyperlink ref="M287" r:id="rId134" xr:uid="{B1C356CC-71F7-47E3-BB02-17AD4FBDCEF0}"/>
    <hyperlink ref="M291" r:id="rId135" xr:uid="{568C9FB9-B500-48A3-BE81-3906B88B6851}"/>
    <hyperlink ref="M302" r:id="rId136" xr:uid="{B6882C50-8898-4602-8883-0AB97DD3859E}"/>
    <hyperlink ref="M307" r:id="rId137" xr:uid="{0039FC34-38BE-45AF-ABE8-2FFCE033F71C}"/>
    <hyperlink ref="M315" r:id="rId138" xr:uid="{4C86C1AE-DC22-4265-8963-841D7F2DCD09}"/>
    <hyperlink ref="M317" r:id="rId139" xr:uid="{97EE73CA-1D3A-4A3D-A042-0BDC8D15C314}"/>
    <hyperlink ref="M294" r:id="rId140" xr:uid="{523A445C-7F78-4001-8797-A2DFB17384D8}"/>
    <hyperlink ref="M273" r:id="rId141" xr:uid="{8B9297B5-5E17-4AFA-89C3-3AFCCBA643D6}"/>
    <hyperlink ref="M298" r:id="rId142" xr:uid="{5E429DDA-B2F4-4780-8484-55CC43FE054F}"/>
    <hyperlink ref="M305" r:id="rId143" xr:uid="{4D39F7DF-4E23-4DD8-BD4F-90F0A6B9C4CA}"/>
    <hyperlink ref="M304" r:id="rId144" xr:uid="{E1114853-968C-410F-8D53-C6CF32F92DC9}"/>
    <hyperlink ref="M309" r:id="rId145" xr:uid="{68E76179-81EF-49B3-86BF-1DD5AD491715}"/>
    <hyperlink ref="M313" r:id="rId146" xr:uid="{515B5024-FDF9-4E36-AD1F-22897AB2E5E6}"/>
    <hyperlink ref="M241" r:id="rId147" xr:uid="{EB21C56C-CDDD-4AD3-970B-E6D99C6A002C}"/>
    <hyperlink ref="M295" r:id="rId148" xr:uid="{0B14082B-9670-4C30-9BE7-1F9928AF71DB}"/>
    <hyperlink ref="M301" r:id="rId149" xr:uid="{59ECF76D-8D50-4F57-A82F-991E606691D3}"/>
    <hyperlink ref="M318" r:id="rId150" xr:uid="{7C71F117-C383-4B5E-B420-C6D331278514}"/>
    <hyperlink ref="M281" r:id="rId151" xr:uid="{B6A2DE0F-A6D8-487A-A712-1C89966E6D01}"/>
    <hyperlink ref="M300" r:id="rId152" xr:uid="{D5B71F9D-EF9A-4E95-8CA2-0A8B01F676FD}"/>
    <hyperlink ref="M308" r:id="rId153" xr:uid="{319A9AEF-879A-4B1A-BE94-F65A83EE2B21}"/>
    <hyperlink ref="M314" r:id="rId154" xr:uid="{DE872A94-2EE7-4E0C-A632-84F559D6716F}"/>
    <hyperlink ref="M270" r:id="rId155" xr:uid="{BAB9168C-0B73-47AE-8520-1648C5CFDF99}"/>
    <hyperlink ref="M269" r:id="rId156" xr:uid="{4C996FB1-25D1-47A9-92FD-69936AA373C4}"/>
    <hyperlink ref="M280" r:id="rId157" xr:uid="{79104788-1504-40F2-8C84-4BD125D0B953}"/>
    <hyperlink ref="M299" r:id="rId158" xr:uid="{E8EE0897-F175-4575-9A8D-765C2CC4383F}"/>
    <hyperlink ref="M306" r:id="rId159" xr:uid="{678609B3-53F2-4E1F-8B13-DEBE7284AD4A}"/>
    <hyperlink ref="M268" r:id="rId160" xr:uid="{8FDFE701-AE90-4387-A6A8-65B56DBB674C}"/>
    <hyperlink ref="M312" r:id="rId161" xr:uid="{74523DB9-8B92-4AFC-9AD2-0917D24585C1}"/>
    <hyperlink ref="M242" r:id="rId162" xr:uid="{0235EE8B-429A-4452-9675-CF03047EF12A}"/>
    <hyperlink ref="M250" r:id="rId163" xr:uid="{09FB0209-6A15-490C-8D11-4B1874412C07}"/>
    <hyperlink ref="M252" r:id="rId164" xr:uid="{A73F9A70-D424-4059-BAEC-1A6CDF2C22C2}"/>
    <hyperlink ref="M255" r:id="rId165" xr:uid="{0BF640F1-4F96-4F62-85DB-BB683C27CDCA}"/>
    <hyperlink ref="M254" r:id="rId166" xr:uid="{02BB8E28-937D-4D15-9ECF-B49A57878A98}"/>
    <hyperlink ref="M261" r:id="rId167" xr:uid="{27EB8148-C4EC-4933-9805-FAF004B67171}"/>
    <hyperlink ref="M260" r:id="rId168" xr:uid="{9DBF9A99-131E-4537-A42A-FEA7D765B451}"/>
    <hyperlink ref="M258" r:id="rId169" xr:uid="{F52ECB2E-B757-47B5-8B52-823894FB05FF}"/>
    <hyperlink ref="M239" r:id="rId170" xr:uid="{2DCDCECE-9AD2-4756-8D2F-DC5EE9789AD6}"/>
    <hyperlink ref="M237" r:id="rId171" xr:uid="{50DB759E-D76A-46B1-99BF-4A414FB789F2}"/>
    <hyperlink ref="M243" r:id="rId172" xr:uid="{13D06B26-8378-4EBF-A286-BA1CAEFBDF01}"/>
    <hyperlink ref="M263" r:id="rId173" xr:uid="{AB9C5EF6-F28D-4E42-A78E-FFD32674ED3A}"/>
    <hyperlink ref="M256" r:id="rId174" xr:uid="{2D01E8A6-DC74-4BAB-A1E4-CFAB6835AF74}"/>
    <hyperlink ref="M240" r:id="rId175" xr:uid="{3DBD2AB9-DED4-4B44-9840-EFD8FB008C47}"/>
    <hyperlink ref="M249" r:id="rId176" xr:uid="{865FB034-6C11-486F-A692-FB8DAAAD97FE}"/>
    <hyperlink ref="M248" r:id="rId177" xr:uid="{A070BE36-D5B6-4AB0-A892-27D24CB67E2A}"/>
    <hyperlink ref="M251" r:id="rId178" xr:uid="{D87955D9-111F-4637-A78B-E99888B3B382}"/>
    <hyperlink ref="M259" r:id="rId179" xr:uid="{CAA983D2-3DE6-4AE0-B497-44713DF4BDB1}"/>
    <hyperlink ref="M238" r:id="rId180" xr:uid="{45A673A7-5F67-42DA-B4CE-0D2FE381030A}"/>
    <hyperlink ref="M226" r:id="rId181" xr:uid="{DE0A94EA-FA4E-4CBA-8BFD-4B53D160754F}"/>
    <hyperlink ref="M297" r:id="rId182" xr:uid="{5E0C8E2C-1D14-47DF-8690-3304DA94B4C4}"/>
    <hyperlink ref="M231" r:id="rId183" xr:uid="{2B19E982-4893-431E-82ED-AE0971522E94}"/>
    <hyperlink ref="M229" r:id="rId184" xr:uid="{F840D739-0CF8-47F0-8318-3E6F2E16C5A9}"/>
    <hyperlink ref="M233" r:id="rId185" xr:uid="{1522901F-C62F-4E4D-B88D-620C5749C5C8}"/>
    <hyperlink ref="M236" r:id="rId186" xr:uid="{027B8CB9-035C-4F83-88A1-CEBD6692BB7F}"/>
    <hyperlink ref="M235" r:id="rId187" xr:uid="{318ACE74-E49C-4BA3-8754-6FADCAD8CEB2}"/>
    <hyperlink ref="M225" r:id="rId188" xr:uid="{6C6F670A-F6F3-46AC-96E4-BE76BA8A0989}"/>
    <hyperlink ref="M228" r:id="rId189" xr:uid="{5C900F74-467C-4818-9EFC-C69DB221A4E2}"/>
    <hyperlink ref="M227" r:id="rId190" xr:uid="{9A07DEC0-3856-491C-985A-6D47CC8331D3}"/>
    <hyperlink ref="M230" r:id="rId191" xr:uid="{6F8FA7D4-7E0D-44FA-9950-62303CABA971}"/>
    <hyperlink ref="M234" r:id="rId192" xr:uid="{2C4407E6-5770-462D-8059-C6D89FD6DC5E}"/>
    <hyperlink ref="M232" r:id="rId193" xr:uid="{EE3124E1-A959-4AC1-BA54-1C14ED7944BC}"/>
    <hyperlink ref="M247" r:id="rId194" xr:uid="{E0724C27-A346-4470-9ACC-F6C2DA2E2C10}"/>
    <hyperlink ref="M245" r:id="rId195" xr:uid="{23E31217-45BF-43AE-A5EE-1847C2269419}"/>
    <hyperlink ref="M244" r:id="rId196" xr:uid="{D9CE5BBF-2786-4CBB-81FF-B8715961728B}"/>
    <hyperlink ref="M246" r:id="rId197" xr:uid="{CC183D15-EDE6-4F51-81D5-7EC7405661AC}"/>
    <hyperlink ref="M290" r:id="rId198" xr:uid="{62F7E413-793F-4669-B1B9-8D19626E2445}"/>
    <hyperlink ref="M126" r:id="rId199" xr:uid="{4997FFEE-9BA1-41BE-A5A7-9C6DD4DF2724}"/>
    <hyperlink ref="M108" r:id="rId200" xr:uid="{06A9FFE7-4302-456C-A32C-5C9BCEECF3EC}"/>
    <hyperlink ref="M109" r:id="rId201" xr:uid="{1870AF9A-3AED-4330-AC36-FB3301F144AE}"/>
    <hyperlink ref="M113" r:id="rId202" xr:uid="{B8B03C2C-4F9E-442F-8DEB-FF94EEF9AED3}"/>
    <hyperlink ref="M107" r:id="rId203" xr:uid="{94811E0E-3D14-4742-9FEC-0FB0BFBA8028}"/>
    <hyperlink ref="M112" r:id="rId204" xr:uid="{A685F8BB-8BA4-42E5-A05F-81B82E131E28}"/>
    <hyperlink ref="M111" r:id="rId205" xr:uid="{F85EE876-675A-453F-9EE2-9E81CD81F63F}"/>
    <hyperlink ref="M110" r:id="rId206" xr:uid="{7F9648CD-6785-4572-A18E-6CAB943E9ACE}"/>
    <hyperlink ref="M101" r:id="rId207" xr:uid="{6C70DF80-818C-49A7-B635-71DA0AF23BA8}"/>
    <hyperlink ref="M104" r:id="rId208" xr:uid="{91628113-DA69-4CCE-9820-6C67665047AB}"/>
    <hyperlink ref="M102" r:id="rId209" xr:uid="{3F89C553-FEEC-4296-BD45-5FB7146958EC}"/>
    <hyperlink ref="M103" r:id="rId210" xr:uid="{A05407CF-FBB6-4505-92B9-FB954DF0A6A2}"/>
    <hyperlink ref="M105" r:id="rId211" xr:uid="{15A321FD-0201-4408-982F-F31862B59FC7}"/>
    <hyperlink ref="M106" r:id="rId212" xr:uid="{71215AA3-6321-4F3D-AE9D-49112BCB589E}"/>
    <hyperlink ref="M95" r:id="rId213" xr:uid="{5B9965E2-808F-4DAA-A497-96CED3F96C54}"/>
    <hyperlink ref="M96" r:id="rId214" xr:uid="{31D523D1-B816-42C2-9D20-5D366C5F50BE}"/>
    <hyperlink ref="M97" r:id="rId215" xr:uid="{57356132-64C9-4CAE-AE52-16AB553D4E16}"/>
    <hyperlink ref="M98" r:id="rId216" xr:uid="{DD38B799-5D84-4A7C-925C-7776E2F894CD}"/>
    <hyperlink ref="M99" r:id="rId217" xr:uid="{192FF55C-68B4-4E82-87FF-0DAD3557DAF1}"/>
    <hyperlink ref="M100" r:id="rId218" xr:uid="{B6D7BB4E-1999-47F9-8FCA-9356C23D87ED}"/>
    <hyperlink ref="M86" r:id="rId219" xr:uid="{276C3975-7407-4A1A-A352-AE841E1D4008}"/>
    <hyperlink ref="M87" r:id="rId220" xr:uid="{88E5929F-F6B9-4FFE-8352-36E1B0052695}"/>
    <hyperlink ref="M88" r:id="rId221" xr:uid="{BAC7A34E-5125-4623-AA0A-8A2E72495874}"/>
    <hyperlink ref="M89" r:id="rId222" xr:uid="{445A8614-CDBE-4EDE-AB0B-F08A1E3FFB75}"/>
    <hyperlink ref="M90" r:id="rId223" xr:uid="{C4CFF848-DD05-4FAC-9182-B0DB2B6B73A2}"/>
    <hyperlink ref="M91" r:id="rId224" xr:uid="{BE26A91C-EAE8-407D-8782-287CF4BECF23}"/>
    <hyperlink ref="M92" r:id="rId225" xr:uid="{F6D6C680-E3FF-4871-97EF-3493E2CBAE61}"/>
    <hyperlink ref="M93" r:id="rId226" xr:uid="{9A0A19B7-C988-4AA8-B2C6-422DC2E8CACD}"/>
    <hyperlink ref="M94" r:id="rId227" xr:uid="{2C1D934C-3839-404E-B458-E906BA2980E5}"/>
    <hyperlink ref="M80" r:id="rId228" xr:uid="{35DB12AF-9657-4DB1-B8DF-0EF77AF26276}"/>
    <hyperlink ref="M81:M85" r:id="rId229" display="Link" xr:uid="{1134BD1A-B731-42BB-BF58-13EE1E63A869}"/>
    <hyperlink ref="M81" r:id="rId230" xr:uid="{E0D4B86F-792C-4DBF-8A69-73743551A174}"/>
    <hyperlink ref="M82" r:id="rId231" xr:uid="{1F4EAC4C-2ECA-4B5E-AB39-4C839D396939}"/>
    <hyperlink ref="M83" r:id="rId232" xr:uid="{482A243E-98AE-4DFA-94AA-4EF3F31F10A6}"/>
    <hyperlink ref="M84" r:id="rId233" xr:uid="{A466142A-5A41-4069-BED3-532F036C6847}"/>
    <hyperlink ref="M85" r:id="rId234" xr:uid="{DE85430C-FDA0-4463-B411-122167DBBAB1}"/>
    <hyperlink ref="M74" r:id="rId235" xr:uid="{80E60A53-9228-477C-925C-90AAC8954A23}"/>
    <hyperlink ref="M75:M79" r:id="rId236" display="Link" xr:uid="{58989427-030D-4667-8B93-F9A71B092AF2}"/>
    <hyperlink ref="M75" r:id="rId237" xr:uid="{5BAEC21A-D5BE-4107-86A0-C8527F7890E7}"/>
    <hyperlink ref="M76" r:id="rId238" xr:uid="{536303AA-8528-4D9E-B5F3-352DC0DA2C1B}"/>
    <hyperlink ref="M77" r:id="rId239" xr:uid="{3C717767-46D4-4BD7-87B9-4E871B80A522}"/>
    <hyperlink ref="M63" r:id="rId240" xr:uid="{1A53674C-BED8-411F-9BA0-BE8A79C4EA6F}"/>
    <hyperlink ref="M78" r:id="rId241" xr:uid="{8EDB1D15-672F-4E74-B4EF-02710137CFEC}"/>
    <hyperlink ref="M79" r:id="rId242" xr:uid="{57138E4B-09D1-49DF-80EA-D343772FD829}"/>
    <hyperlink ref="M62" r:id="rId243" xr:uid="{1343F0E6-6054-4BA4-B51D-4CE33E39DF1D}"/>
    <hyperlink ref="M64:M73" r:id="rId244" display="Link" xr:uid="{7FD7B49A-887D-4504-B707-1F8FA17D21A2}"/>
    <hyperlink ref="M64" r:id="rId245" xr:uid="{B4A60730-9000-453A-9FE4-EC03D282E380}"/>
    <hyperlink ref="M65" r:id="rId246" xr:uid="{5FB5B938-7576-46B1-B686-5622E95D91A2}"/>
    <hyperlink ref="M66" r:id="rId247" xr:uid="{BA1A1240-6759-4D74-90BD-89DC47B95C53}"/>
    <hyperlink ref="M67" r:id="rId248" xr:uid="{9772032D-8B58-4C05-9976-138FB047CF01}"/>
    <hyperlink ref="M69" r:id="rId249" xr:uid="{10CCE5BC-F89F-4AFB-B7FE-5E4757930B0A}"/>
    <hyperlink ref="M70" r:id="rId250" xr:uid="{631F4FDA-69D4-4AE1-BEEE-686BB00C9BF6}"/>
    <hyperlink ref="M71" r:id="rId251" xr:uid="{D8838CA1-D88A-44AF-93E8-DB1DD7FEFA63}"/>
    <hyperlink ref="M68" r:id="rId252" xr:uid="{CB4BB386-2F3A-407E-908A-323B443BB296}"/>
    <hyperlink ref="M72" r:id="rId253" xr:uid="{79391A27-C378-42A1-80B6-5ACD7C13EB22}"/>
    <hyperlink ref="M73" r:id="rId254" xr:uid="{46F9BE36-C6B1-4C3A-BB10-F037A2FB0CB2}"/>
    <hyperlink ref="M54" r:id="rId255" xr:uid="{7BD6089B-3430-47EE-8188-380D22D284F8}"/>
    <hyperlink ref="M47" r:id="rId256" xr:uid="{FFA65DBD-D648-43FD-AF91-26480C2502DC}"/>
    <hyperlink ref="M55" r:id="rId257" xr:uid="{5071CAB0-165C-4163-A11B-E046B0FB82C5}"/>
    <hyperlink ref="M57" r:id="rId258" xr:uid="{3659F7C0-D29A-4136-8F94-0E5E90E887B6}"/>
    <hyperlink ref="M58" r:id="rId259" xr:uid="{9F8E3C58-385A-40D1-BD7E-864015272578}"/>
    <hyperlink ref="M59" r:id="rId260" xr:uid="{8D01113A-B7DB-4015-917D-D74A7D2B9087}"/>
    <hyperlink ref="M60" r:id="rId261" xr:uid="{CD4EC57C-7D0C-421B-8A85-249FAB09237B}"/>
    <hyperlink ref="M61" r:id="rId262" xr:uid="{F2A6B46B-D9AE-42EE-8DB5-712722F7D277}"/>
    <hyperlink ref="M56" r:id="rId263" xr:uid="{CE65FE55-9074-4F57-A034-7C62CCE32A3D}"/>
    <hyperlink ref="M51" r:id="rId264" xr:uid="{110282C6-F924-42ED-8DF5-8BA4227B9458}"/>
    <hyperlink ref="M49" r:id="rId265" xr:uid="{CAA1A93C-E2DB-497C-B96A-ACC2F91653CF}"/>
    <hyperlink ref="M48" r:id="rId266" xr:uid="{C154D9D0-CAD9-477F-9F5A-9FD24CD27075}"/>
    <hyperlink ref="M50" r:id="rId267" xr:uid="{1F9CC74A-79CD-4A39-8CCA-1D53CAA92E8E}"/>
    <hyperlink ref="M52" r:id="rId268" xr:uid="{AC745045-5D4B-4622-A50B-1B6109E8365C}"/>
    <hyperlink ref="M39" r:id="rId269" xr:uid="{EC49138E-505E-4A14-9A68-707A1B608FC9}"/>
    <hyperlink ref="M40" r:id="rId270" xr:uid="{A9AA8417-9E76-408D-8917-A667B7CA011F}"/>
    <hyperlink ref="M41" r:id="rId271" xr:uid="{DD1C15A5-D324-4751-A2B1-74107014B5E3}"/>
    <hyperlink ref="M42" r:id="rId272" xr:uid="{77A4AFBA-398C-4954-936D-DC9C4263FB06}"/>
    <hyperlink ref="M43" r:id="rId273" xr:uid="{DB239597-8CD5-45D7-B7AB-8D761F5D2A5B}"/>
    <hyperlink ref="M44" r:id="rId274" xr:uid="{85431F85-D1A7-4CB1-9E32-66222E0B991D}"/>
    <hyperlink ref="M45" r:id="rId275" xr:uid="{5B15E43F-310F-4B4D-8DCA-F917499F0AE0}"/>
    <hyperlink ref="M30" r:id="rId276" xr:uid="{7F1E09CC-7FDC-4F0F-9BC6-40E959392F14}"/>
    <hyperlink ref="M32" r:id="rId277" xr:uid="{B4F39A5B-CE26-45BB-B785-E46D890A3DC9}"/>
    <hyperlink ref="M33" r:id="rId278" xr:uid="{7C22FA57-AA5E-451A-AC32-DC357C4B0EFA}"/>
    <hyperlink ref="M35" r:id="rId279" xr:uid="{1EC70CFE-E052-4484-95B8-0B583E089ED5}"/>
    <hyperlink ref="M34" r:id="rId280" xr:uid="{9618CB91-3EDF-43B8-AC2E-7E30BB19D5B2}"/>
    <hyperlink ref="M31" r:id="rId281" xr:uid="{B5413378-43EC-4C83-88E4-62BD0548B4B2}"/>
    <hyperlink ref="M36" r:id="rId282" xr:uid="{11BB05EC-1284-4E18-9E0B-4B7504D13BFC}"/>
    <hyperlink ref="M29" r:id="rId283" xr:uid="{BEF43DC9-8C2A-41DE-981D-55779577ACCA}"/>
    <hyperlink ref="M28" r:id="rId284" xr:uid="{7DEB3DBF-04F3-463C-B75C-DB1821CA7375}"/>
    <hyperlink ref="M38" r:id="rId285" xr:uid="{F0518098-E04A-4EBA-B4FB-6D523DD0623B}"/>
    <hyperlink ref="M16" r:id="rId286" xr:uid="{00000000-0004-0000-0100-000000000000}"/>
    <hyperlink ref="M14" r:id="rId287" xr:uid="{00000000-0004-0000-0100-000001000000}"/>
    <hyperlink ref="M15" r:id="rId288" xr:uid="{00000000-0004-0000-0100-000002000000}"/>
    <hyperlink ref="M18" r:id="rId289" xr:uid="{00000000-0004-0000-0100-000003000000}"/>
    <hyperlink ref="M19" r:id="rId290" xr:uid="{00000000-0004-0000-0100-000004000000}"/>
    <hyperlink ref="M17" r:id="rId291" xr:uid="{00000000-0004-0000-0100-000005000000}"/>
    <hyperlink ref="M20" r:id="rId292" xr:uid="{00000000-0004-0000-0100-000006000000}"/>
    <hyperlink ref="M23" r:id="rId293" xr:uid="{00000000-0004-0000-0100-000007000000}"/>
    <hyperlink ref="M24" r:id="rId294" xr:uid="{00000000-0004-0000-0100-000008000000}"/>
    <hyperlink ref="M25" r:id="rId295" xr:uid="{00000000-0004-0000-0100-000009000000}"/>
    <hyperlink ref="M26" r:id="rId296" xr:uid="{00000000-0004-0000-0100-00000A000000}"/>
    <hyperlink ref="M22" r:id="rId297" xr:uid="{223056AD-69AF-4114-980B-F32F9FF143A1}"/>
    <hyperlink ref="M21" r:id="rId298" xr:uid="{00000000-0004-0000-0000-000004000000}"/>
    <hyperlink ref="M4" r:id="rId299" xr:uid="{A7FA087F-7C2E-4A11-A012-671AA46C6FA0}"/>
    <hyperlink ref="M6" r:id="rId300" xr:uid="{EBA64BFD-B63C-43F9-8D64-97D4A4D5B394}"/>
    <hyperlink ref="M7" r:id="rId301" xr:uid="{AA8994D3-E6E8-48F9-A784-DBDCEF5B0923}"/>
    <hyperlink ref="M9" r:id="rId302" xr:uid="{1AF524D7-8912-44E3-A28B-9F317FA9592E}"/>
    <hyperlink ref="M10" r:id="rId303" xr:uid="{BF6F352C-3679-44A1-9703-6423B61ED280}"/>
    <hyperlink ref="M12" r:id="rId304" xr:uid="{6D7CFB5A-03DF-4542-8D24-6609F910DE8A}"/>
    <hyperlink ref="M5" r:id="rId305" xr:uid="{7443B8B0-6072-44EA-8340-EF138C0349FC}"/>
    <hyperlink ref="M8" r:id="rId306" xr:uid="{C7717EBE-F22F-4A42-89D6-530E7C47944F}"/>
    <hyperlink ref="M11" r:id="rId307" xr:uid="{5EE1E8CA-8F4B-42F5-BA00-43412E3EB0BB}"/>
  </hyperlinks>
  <pageMargins left="0.7" right="0.7" top="0.75" bottom="0.75" header="0.3" footer="0.3"/>
  <pageSetup orientation="portrait" verticalDpi="0" r:id="rId308"/>
  <headerFooter>
    <oddFooter>&amp;L_x000D_&amp;1#&amp;"Calibri"&amp;10&amp;K000000 Sensitivity: Public</oddFooter>
  </headerFooter>
  <customProperties>
    <customPr name="UniqueName" r:id="rId309"/>
  </customProperties>
</worksheet>
</file>

<file path=docMetadata/LabelInfo.xml><?xml version="1.0" encoding="utf-8"?>
<clbl:labelList xmlns:clbl="http://schemas.microsoft.com/office/2020/mipLabelMetadata">
  <clbl:label id="{0b3ab16f-2b80-4aea-bde8-77b48c8d3723}" enabled="1" method="Standard" siteId="{0483ae51-a627-466e-a7dd-de2ac7e1238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M&amp;A (PE &amp; Strategic)</vt:lpstr>
      <vt:lpstr>Growth Capital Raises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PitchBook</dc:creator>
  <cp:lastModifiedBy>Carroll, Ryan</cp:lastModifiedBy>
  <dcterms:created xsi:type="dcterms:W3CDTF">2011-01-13T13:16:13Z</dcterms:created>
  <dcterms:modified xsi:type="dcterms:W3CDTF">2026-07-07T01:51:22Z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{00C2D562-7916-420C-B278-F5EC0B238CBC}</vt:lpwstr>
  </property>
</Properties>
</file>